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shravanigouddindu/Documents/NYJCC Forage/"/>
    </mc:Choice>
  </mc:AlternateContent>
  <xr:revisionPtr revIDLastSave="0" documentId="13_ncr:1_{A228667D-88B5-5F4A-8DE0-D510B2D70889}" xr6:coauthVersionLast="47" xr6:coauthVersionMax="47" xr10:uidLastSave="{00000000-0000-0000-0000-000000000000}"/>
  <bookViews>
    <workbookView xWindow="0" yWindow="760" windowWidth="25220" windowHeight="18360" tabRatio="882" activeTab="5" xr2:uid="{00000000-000D-0000-FFFF-FFFF00000000}"/>
  </bookViews>
  <sheets>
    <sheet name="Output 1" sheetId="1" r:id="rId1"/>
    <sheet name="Output 2" sheetId="2" r:id="rId2"/>
    <sheet name="Output 3" sheetId="3" r:id="rId3"/>
    <sheet name="Income Statement" sheetId="4" r:id="rId4"/>
    <sheet name="Balance Sheet" sheetId="5" r:id="rId5"/>
    <sheet name="Cash Flows" sheetId="6" r:id="rId6"/>
    <sheet name="Customer Data" sheetId="7" r:id="rId7"/>
  </sheets>
  <externalReferences>
    <externalReference r:id="rId8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2QNtJJdeHXe/DwbRMIaCxjk6T63/h3BtEyQxQaKMFpY="/>
    </ext>
  </extLst>
</workbook>
</file>

<file path=xl/calcChain.xml><?xml version="1.0" encoding="utf-8"?>
<calcChain xmlns="http://schemas.openxmlformats.org/spreadsheetml/2006/main">
  <c r="K26" i="1" l="1"/>
  <c r="K31" i="1" s="1"/>
  <c r="C36" i="3"/>
  <c r="D36" i="3"/>
  <c r="J31" i="1"/>
  <c r="I31" i="1"/>
  <c r="H31" i="1"/>
  <c r="G31" i="1"/>
  <c r="J26" i="1"/>
  <c r="I26" i="1"/>
  <c r="H26" i="1"/>
  <c r="G26" i="1"/>
  <c r="C26" i="1"/>
  <c r="D26" i="1"/>
  <c r="E26" i="1"/>
  <c r="F26" i="1"/>
  <c r="K6" i="7" l="1"/>
  <c r="K9" i="7" s="1"/>
  <c r="J6" i="7"/>
  <c r="J9" i="7" s="1"/>
  <c r="I6" i="7"/>
  <c r="I9" i="7" s="1"/>
  <c r="H6" i="7"/>
  <c r="H9" i="7" s="1"/>
  <c r="G6" i="7"/>
  <c r="G9" i="7" s="1"/>
  <c r="F6" i="7"/>
  <c r="F9" i="7" s="1"/>
  <c r="E6" i="7"/>
  <c r="E9" i="7" s="1"/>
  <c r="D6" i="7"/>
  <c r="D9" i="7" s="1"/>
  <c r="C6" i="7"/>
  <c r="C9" i="7" s="1"/>
  <c r="C17" i="2" s="1"/>
  <c r="R50" i="6"/>
  <c r="Q50" i="6"/>
  <c r="P50" i="6"/>
  <c r="O50" i="6"/>
  <c r="N50" i="6"/>
  <c r="M50" i="6"/>
  <c r="K50" i="6"/>
  <c r="J50" i="6"/>
  <c r="I50" i="6"/>
  <c r="H50" i="6"/>
  <c r="R49" i="6"/>
  <c r="Q49" i="6"/>
  <c r="P49" i="6"/>
  <c r="O49" i="6"/>
  <c r="N49" i="6"/>
  <c r="M49" i="6"/>
  <c r="L49" i="6"/>
  <c r="K49" i="6"/>
  <c r="J49" i="6"/>
  <c r="I49" i="6"/>
  <c r="H49" i="6"/>
  <c r="N48" i="6"/>
  <c r="M48" i="6"/>
  <c r="M51" i="6" s="1"/>
  <c r="R45" i="6"/>
  <c r="P45" i="6"/>
  <c r="O45" i="6"/>
  <c r="N45" i="6"/>
  <c r="M45" i="6"/>
  <c r="L45" i="6"/>
  <c r="K45" i="6"/>
  <c r="J45" i="6"/>
  <c r="I45" i="6"/>
  <c r="H45" i="6"/>
  <c r="Q43" i="6"/>
  <c r="Q45" i="6" s="1"/>
  <c r="L43" i="6"/>
  <c r="Q42" i="6"/>
  <c r="L42" i="6"/>
  <c r="R40" i="6"/>
  <c r="P40" i="6"/>
  <c r="O40" i="6"/>
  <c r="N40" i="6"/>
  <c r="M40" i="6"/>
  <c r="K40" i="6"/>
  <c r="J40" i="6"/>
  <c r="I40" i="6"/>
  <c r="H40" i="6"/>
  <c r="Q39" i="6"/>
  <c r="L39" i="6"/>
  <c r="Q38" i="6"/>
  <c r="L38" i="6"/>
  <c r="Q37" i="6"/>
  <c r="L37" i="6"/>
  <c r="Q36" i="6"/>
  <c r="L36" i="6"/>
  <c r="Q35" i="6"/>
  <c r="Q40" i="6" s="1"/>
  <c r="L35" i="6"/>
  <c r="Q34" i="6"/>
  <c r="L34" i="6"/>
  <c r="L40" i="6" s="1"/>
  <c r="R32" i="6"/>
  <c r="P32" i="6"/>
  <c r="O32" i="6"/>
  <c r="N32" i="6"/>
  <c r="M32" i="6"/>
  <c r="K32" i="6"/>
  <c r="J32" i="6"/>
  <c r="I32" i="6"/>
  <c r="H32" i="6"/>
  <c r="Q31" i="6"/>
  <c r="Q30" i="6"/>
  <c r="Q32" i="6" s="1"/>
  <c r="L30" i="6"/>
  <c r="Q29" i="6"/>
  <c r="L29" i="6"/>
  <c r="L50" i="6" s="1"/>
  <c r="Q28" i="6"/>
  <c r="L28" i="6"/>
  <c r="L32" i="6" s="1"/>
  <c r="Q26" i="6"/>
  <c r="Q48" i="6" s="1"/>
  <c r="Q51" i="6" s="1"/>
  <c r="E30" i="3" s="1"/>
  <c r="E36" i="3" s="1"/>
  <c r="P26" i="6"/>
  <c r="P48" i="6" s="1"/>
  <c r="O26" i="6"/>
  <c r="O48" i="6" s="1"/>
  <c r="N26" i="6"/>
  <c r="M26" i="6"/>
  <c r="K26" i="6"/>
  <c r="K48" i="6" s="1"/>
  <c r="K51" i="6" s="1"/>
  <c r="F31" i="1" s="1"/>
  <c r="J26" i="6"/>
  <c r="J48" i="6" s="1"/>
  <c r="J51" i="6" s="1"/>
  <c r="E31" i="1" s="1"/>
  <c r="I26" i="6"/>
  <c r="I48" i="6" s="1"/>
  <c r="I51" i="6" s="1"/>
  <c r="D31" i="1" s="1"/>
  <c r="H26" i="6"/>
  <c r="H48" i="6" s="1"/>
  <c r="H51" i="6" s="1"/>
  <c r="C31" i="1" s="1"/>
  <c r="Q25" i="6"/>
  <c r="L25" i="6"/>
  <c r="Q24" i="6"/>
  <c r="L24" i="6"/>
  <c r="Q23" i="6"/>
  <c r="L23" i="6"/>
  <c r="Q22" i="6"/>
  <c r="L22" i="6"/>
  <c r="Q21" i="6"/>
  <c r="L21" i="6"/>
  <c r="Q19" i="6"/>
  <c r="L19" i="6"/>
  <c r="Q18" i="6"/>
  <c r="L18" i="6"/>
  <c r="Q17" i="6"/>
  <c r="L17" i="6"/>
  <c r="Q16" i="6"/>
  <c r="L16" i="6"/>
  <c r="Q15" i="6"/>
  <c r="L15" i="6"/>
  <c r="Q14" i="6"/>
  <c r="L14" i="6"/>
  <c r="Q13" i="6"/>
  <c r="L13" i="6"/>
  <c r="Q12" i="6"/>
  <c r="L12" i="6"/>
  <c r="R9" i="6"/>
  <c r="R26" i="6" s="1"/>
  <c r="R48" i="6" s="1"/>
  <c r="Q9" i="6"/>
  <c r="L9" i="6"/>
  <c r="Q36" i="5"/>
  <c r="P36" i="5"/>
  <c r="H36" i="5"/>
  <c r="R35" i="5"/>
  <c r="Q35" i="5"/>
  <c r="P35" i="5"/>
  <c r="O35" i="5"/>
  <c r="N35" i="5"/>
  <c r="M35" i="5"/>
  <c r="L35" i="5"/>
  <c r="K35" i="5"/>
  <c r="J35" i="5"/>
  <c r="I35" i="5"/>
  <c r="H35" i="5"/>
  <c r="G35" i="5"/>
  <c r="O29" i="5"/>
  <c r="O36" i="5" s="1"/>
  <c r="N29" i="5"/>
  <c r="N36" i="5" s="1"/>
  <c r="M29" i="5"/>
  <c r="M36" i="5" s="1"/>
  <c r="H29" i="5"/>
  <c r="G29" i="5"/>
  <c r="G36" i="5" s="1"/>
  <c r="R25" i="5"/>
  <c r="R29" i="5" s="1"/>
  <c r="R36" i="5" s="1"/>
  <c r="Q25" i="5"/>
  <c r="P25" i="5"/>
  <c r="O25" i="5"/>
  <c r="N25" i="5"/>
  <c r="M25" i="5"/>
  <c r="L25" i="5"/>
  <c r="L29" i="5" s="1"/>
  <c r="K25" i="5"/>
  <c r="K29" i="5" s="1"/>
  <c r="K36" i="5" s="1"/>
  <c r="J25" i="5"/>
  <c r="J29" i="5" s="1"/>
  <c r="J36" i="5" s="1"/>
  <c r="I25" i="5"/>
  <c r="I29" i="5" s="1"/>
  <c r="I36" i="5" s="1"/>
  <c r="H25" i="5"/>
  <c r="G25" i="5"/>
  <c r="P17" i="5"/>
  <c r="O17" i="5"/>
  <c r="N17" i="5"/>
  <c r="M17" i="5"/>
  <c r="H17" i="5"/>
  <c r="G17" i="5"/>
  <c r="R13" i="5"/>
  <c r="R17" i="5" s="1"/>
  <c r="Q13" i="5"/>
  <c r="Q17" i="5" s="1"/>
  <c r="P13" i="5"/>
  <c r="O13" i="5"/>
  <c r="N13" i="5"/>
  <c r="M13" i="5"/>
  <c r="L13" i="5"/>
  <c r="L17" i="5" s="1"/>
  <c r="K13" i="5"/>
  <c r="K17" i="5" s="1"/>
  <c r="J13" i="5"/>
  <c r="J17" i="5" s="1"/>
  <c r="I13" i="5"/>
  <c r="I17" i="5" s="1"/>
  <c r="H13" i="5"/>
  <c r="G13" i="5"/>
  <c r="O26" i="4"/>
  <c r="J26" i="4"/>
  <c r="O25" i="4"/>
  <c r="J25" i="4"/>
  <c r="P23" i="4"/>
  <c r="H23" i="4"/>
  <c r="L22" i="4"/>
  <c r="K22" i="4"/>
  <c r="P20" i="4"/>
  <c r="P22" i="4" s="1"/>
  <c r="N20" i="4"/>
  <c r="M20" i="4"/>
  <c r="H20" i="4"/>
  <c r="E22" i="1" s="1"/>
  <c r="G20" i="4"/>
  <c r="F20" i="4"/>
  <c r="O19" i="4"/>
  <c r="J19" i="4"/>
  <c r="P18" i="4"/>
  <c r="N18" i="4"/>
  <c r="M18" i="4"/>
  <c r="L18" i="4"/>
  <c r="L20" i="4" s="1"/>
  <c r="L23" i="4" s="1"/>
  <c r="K18" i="4"/>
  <c r="K20" i="4" s="1"/>
  <c r="K23" i="4" s="1"/>
  <c r="H18" i="4"/>
  <c r="G18" i="4"/>
  <c r="F18" i="4"/>
  <c r="O17" i="4"/>
  <c r="J17" i="4"/>
  <c r="O16" i="4"/>
  <c r="J16" i="4"/>
  <c r="P14" i="4"/>
  <c r="N14" i="4"/>
  <c r="M14" i="4"/>
  <c r="L14" i="4"/>
  <c r="K14" i="4"/>
  <c r="J14" i="4"/>
  <c r="I14" i="4"/>
  <c r="H14" i="4"/>
  <c r="G14" i="4"/>
  <c r="F14" i="4"/>
  <c r="O13" i="4"/>
  <c r="J13" i="4"/>
  <c r="O12" i="4"/>
  <c r="J12" i="4"/>
  <c r="O11" i="4"/>
  <c r="J11" i="4"/>
  <c r="O10" i="4"/>
  <c r="J10" i="4"/>
  <c r="O9" i="4"/>
  <c r="O14" i="4" s="1"/>
  <c r="O18" i="4" s="1"/>
  <c r="O20" i="4" s="1"/>
  <c r="E27" i="3" s="1"/>
  <c r="J9" i="4"/>
  <c r="F34" i="3"/>
  <c r="D34" i="3"/>
  <c r="C34" i="3"/>
  <c r="D33" i="3"/>
  <c r="C33" i="3"/>
  <c r="D28" i="3"/>
  <c r="F27" i="3"/>
  <c r="G27" i="3" s="1"/>
  <c r="G28" i="3" s="1"/>
  <c r="D26" i="3"/>
  <c r="F25" i="3"/>
  <c r="F35" i="3" s="1"/>
  <c r="E25" i="3"/>
  <c r="G24" i="3"/>
  <c r="D24" i="3"/>
  <c r="F23" i="3"/>
  <c r="G23" i="3" s="1"/>
  <c r="H23" i="3" s="1"/>
  <c r="E23" i="3"/>
  <c r="E24" i="3" s="1"/>
  <c r="J24" i="2"/>
  <c r="C24" i="2"/>
  <c r="K20" i="2"/>
  <c r="K18" i="2"/>
  <c r="J18" i="2"/>
  <c r="I18" i="2"/>
  <c r="H18" i="2"/>
  <c r="G18" i="2"/>
  <c r="F18" i="2"/>
  <c r="E18" i="2"/>
  <c r="D18" i="2"/>
  <c r="C18" i="2"/>
  <c r="J17" i="2"/>
  <c r="I17" i="2"/>
  <c r="H17" i="2"/>
  <c r="G17" i="2"/>
  <c r="K15" i="2"/>
  <c r="J15" i="2"/>
  <c r="I15" i="2"/>
  <c r="H15" i="2"/>
  <c r="G15" i="2"/>
  <c r="F15" i="2"/>
  <c r="E15" i="2"/>
  <c r="D15" i="2"/>
  <c r="C15" i="2"/>
  <c r="E30" i="1"/>
  <c r="C29" i="1"/>
  <c r="H24" i="1"/>
  <c r="G24" i="1"/>
  <c r="I22" i="1"/>
  <c r="I30" i="1" s="1"/>
  <c r="H22" i="1"/>
  <c r="H30" i="1" s="1"/>
  <c r="G22" i="1"/>
  <c r="G30" i="1" s="1"/>
  <c r="K19" i="1"/>
  <c r="J19" i="1"/>
  <c r="I19" i="1"/>
  <c r="I29" i="1" s="1"/>
  <c r="H19" i="1"/>
  <c r="G19" i="1"/>
  <c r="E19" i="1"/>
  <c r="D19" i="1"/>
  <c r="D20" i="1" s="1"/>
  <c r="C19" i="1"/>
  <c r="I17" i="1"/>
  <c r="M16" i="1"/>
  <c r="K16" i="1"/>
  <c r="K29" i="1" s="1"/>
  <c r="J16" i="1"/>
  <c r="J17" i="1" s="1"/>
  <c r="I16" i="1"/>
  <c r="H16" i="1"/>
  <c r="H17" i="1" s="1"/>
  <c r="G16" i="1"/>
  <c r="F16" i="1"/>
  <c r="F17" i="1" s="1"/>
  <c r="E16" i="1"/>
  <c r="D16" i="1"/>
  <c r="C16" i="1"/>
  <c r="F26" i="3" l="1"/>
  <c r="G17" i="1"/>
  <c r="E20" i="1"/>
  <c r="J29" i="1"/>
  <c r="D17" i="1"/>
  <c r="K17" i="1"/>
  <c r="G29" i="1"/>
  <c r="E17" i="1"/>
  <c r="H29" i="1"/>
  <c r="J20" i="1"/>
  <c r="I23" i="1"/>
  <c r="E29" i="1"/>
  <c r="E28" i="3"/>
  <c r="E34" i="3"/>
  <c r="F28" i="3"/>
  <c r="D22" i="1"/>
  <c r="G22" i="4"/>
  <c r="D24" i="1" s="1"/>
  <c r="G15" i="7"/>
  <c r="F12" i="7"/>
  <c r="I18" i="4"/>
  <c r="F19" i="1"/>
  <c r="G23" i="4"/>
  <c r="L36" i="5"/>
  <c r="R51" i="6"/>
  <c r="F30" i="3" s="1"/>
  <c r="H15" i="7"/>
  <c r="G12" i="7"/>
  <c r="C12" i="7"/>
  <c r="D17" i="2"/>
  <c r="D24" i="2" s="1"/>
  <c r="D15" i="7"/>
  <c r="D29" i="1"/>
  <c r="H24" i="2"/>
  <c r="G24" i="2"/>
  <c r="E26" i="3"/>
  <c r="E35" i="3"/>
  <c r="E33" i="3"/>
  <c r="K24" i="1"/>
  <c r="F29" i="3"/>
  <c r="E17" i="2"/>
  <c r="E24" i="2" s="1"/>
  <c r="E15" i="7"/>
  <c r="D12" i="7"/>
  <c r="I24" i="2"/>
  <c r="F23" i="4"/>
  <c r="C22" i="1"/>
  <c r="C30" i="1" s="1"/>
  <c r="F22" i="4"/>
  <c r="L26" i="6"/>
  <c r="L48" i="6" s="1"/>
  <c r="L51" i="6" s="1"/>
  <c r="F17" i="2"/>
  <c r="F15" i="7"/>
  <c r="E12" i="7"/>
  <c r="K20" i="1"/>
  <c r="H20" i="1"/>
  <c r="M23" i="4"/>
  <c r="O23" i="4" s="1"/>
  <c r="M22" i="4"/>
  <c r="I24" i="1" s="1"/>
  <c r="O51" i="6"/>
  <c r="I15" i="7"/>
  <c r="H12" i="7"/>
  <c r="I20" i="1"/>
  <c r="H23" i="1"/>
  <c r="F24" i="3"/>
  <c r="H27" i="3"/>
  <c r="G34" i="3"/>
  <c r="G29" i="3"/>
  <c r="H29" i="3" s="1"/>
  <c r="N23" i="4"/>
  <c r="N22" i="4"/>
  <c r="J24" i="1" s="1"/>
  <c r="J22" i="1"/>
  <c r="P51" i="6"/>
  <c r="N51" i="6"/>
  <c r="J15" i="7"/>
  <c r="I12" i="7"/>
  <c r="F24" i="2"/>
  <c r="K15" i="7"/>
  <c r="K13" i="7"/>
  <c r="K10" i="7" s="1"/>
  <c r="K19" i="2" s="1"/>
  <c r="K23" i="2" s="1"/>
  <c r="J12" i="7"/>
  <c r="K17" i="2"/>
  <c r="K24" i="2" s="1"/>
  <c r="G25" i="3"/>
  <c r="K22" i="1"/>
  <c r="F33" i="3"/>
  <c r="H22" i="4"/>
  <c r="E24" i="1" s="1"/>
  <c r="F13" i="7" l="1"/>
  <c r="F10" i="7" s="1"/>
  <c r="F19" i="2" s="1"/>
  <c r="F23" i="2" s="1"/>
  <c r="F20" i="2"/>
  <c r="I13" i="7"/>
  <c r="I10" i="7" s="1"/>
  <c r="I19" i="2" s="1"/>
  <c r="I23" i="2" s="1"/>
  <c r="I20" i="2"/>
  <c r="D13" i="7"/>
  <c r="D10" i="7" s="1"/>
  <c r="D19" i="2" s="1"/>
  <c r="D23" i="2" s="1"/>
  <c r="D20" i="2"/>
  <c r="F36" i="3"/>
  <c r="G30" i="3"/>
  <c r="K23" i="1"/>
  <c r="K30" i="1"/>
  <c r="D30" i="3"/>
  <c r="G35" i="3"/>
  <c r="G33" i="3"/>
  <c r="H25" i="3"/>
  <c r="G26" i="3"/>
  <c r="O22" i="4"/>
  <c r="E29" i="3" s="1"/>
  <c r="D23" i="1"/>
  <c r="D30" i="1"/>
  <c r="C24" i="1"/>
  <c r="E23" i="1"/>
  <c r="J13" i="7"/>
  <c r="J10" i="7" s="1"/>
  <c r="J19" i="2" s="1"/>
  <c r="J23" i="2" s="1"/>
  <c r="J20" i="2"/>
  <c r="J23" i="1"/>
  <c r="J30" i="1"/>
  <c r="F20" i="1"/>
  <c r="F29" i="1"/>
  <c r="H13" i="7"/>
  <c r="H10" i="7" s="1"/>
  <c r="H19" i="2" s="1"/>
  <c r="H23" i="2" s="1"/>
  <c r="H20" i="2"/>
  <c r="C13" i="7"/>
  <c r="C10" i="7" s="1"/>
  <c r="C19" i="2" s="1"/>
  <c r="C23" i="2" s="1"/>
  <c r="C20" i="2"/>
  <c r="I20" i="4"/>
  <c r="J18" i="4"/>
  <c r="E13" i="7"/>
  <c r="E10" i="7" s="1"/>
  <c r="E19" i="2" s="1"/>
  <c r="E23" i="2" s="1"/>
  <c r="E20" i="2"/>
  <c r="G13" i="7"/>
  <c r="G10" i="7" s="1"/>
  <c r="G19" i="2" s="1"/>
  <c r="G23" i="2" s="1"/>
  <c r="G20" i="2"/>
  <c r="G21" i="2" s="1"/>
  <c r="G20" i="1"/>
  <c r="E21" i="2" l="1"/>
  <c r="I21" i="2"/>
  <c r="J21" i="2"/>
  <c r="K21" i="2"/>
  <c r="G36" i="3"/>
  <c r="H30" i="3"/>
  <c r="H21" i="2"/>
  <c r="D21" i="2"/>
  <c r="F21" i="2"/>
  <c r="I22" i="4"/>
  <c r="F22" i="1"/>
  <c r="I23" i="4"/>
  <c r="J23" i="4" s="1"/>
  <c r="J20" i="4"/>
  <c r="F30" i="1" l="1"/>
  <c r="F23" i="1"/>
  <c r="G23" i="1"/>
  <c r="F24" i="1"/>
  <c r="J22" i="4"/>
</calcChain>
</file>

<file path=xl/sharedStrings.xml><?xml version="1.0" encoding="utf-8"?>
<sst xmlns="http://schemas.openxmlformats.org/spreadsheetml/2006/main" count="278" uniqueCount="176">
  <si>
    <t xml:space="preserve">Output 1 </t>
  </si>
  <si>
    <t>BigTechCompany</t>
  </si>
  <si>
    <t>Quarterly Financial Overview</t>
  </si>
  <si>
    <t>Instructions:</t>
  </si>
  <si>
    <t xml:space="preserve">Using the income statement, balance sheet and cash flow statements, populate the quarterly financial information for Stargaze. </t>
  </si>
  <si>
    <t>Calculate the quarter-over-quarter growth for revenue, operating income (EBITDA) and net income per share.</t>
  </si>
  <si>
    <t>Then, calculate the financial metrics.</t>
  </si>
  <si>
    <t>Ensure that your number formatting is consistent with the formatting in column D.</t>
  </si>
  <si>
    <t>Once finished, copy this table on page 2 of your PowerPoint template.</t>
  </si>
  <si>
    <t>Q1</t>
  </si>
  <si>
    <t>Q2</t>
  </si>
  <si>
    <t>Q3</t>
  </si>
  <si>
    <t>Q4</t>
  </si>
  <si>
    <t>($ in thousands)</t>
  </si>
  <si>
    <t>Revenues</t>
  </si>
  <si>
    <t>Quarterly Growth</t>
  </si>
  <si>
    <t>Operating Income (EBITDA)</t>
  </si>
  <si>
    <t>Net Income</t>
  </si>
  <si>
    <t>Net Income per Share</t>
  </si>
  <si>
    <t>Financial Metrics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</si>
  <si>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</si>
  <si>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</si>
  <si>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</si>
  <si>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</si>
  <si>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</si>
  <si>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</si>
  <si>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</si>
  <si>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</si>
  <si>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</si>
  <si>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EBITDA Margin</t>
  </si>
  <si>
    <t>Hint: EBITDA margin is calculated as EBITDA divided by revenue.</t>
  </si>
  <si>
    <t>Net Income Margin</t>
  </si>
  <si>
    <t>FCF per Diluted Share</t>
  </si>
  <si>
    <t xml:space="preserve">Hint: divide FCF by diluted shares. </t>
  </si>
  <si>
    <t>Output 2</t>
  </si>
  <si>
    <t>Customer Trends</t>
  </si>
  <si>
    <t>Using the Customer Data tab, populate the quarterly information on Stargaze customers.</t>
  </si>
  <si>
    <t>Ensure that your formatting is consistent across the table. Your formatting should match that of column D.</t>
  </si>
  <si>
    <t>Once finished, copy your table into page 3 of the PowerPoint presentation.</t>
  </si>
  <si>
    <t>#s in thousands</t>
  </si>
  <si>
    <t xml:space="preserve">Cost of Subscription (Quarterly) </t>
  </si>
  <si>
    <t>Number of Users (Beginning of Period)</t>
  </si>
  <si>
    <t>Customer Attrition</t>
  </si>
  <si>
    <t>Hint: Customer attrition is the number of customers who canceled their service.</t>
  </si>
  <si>
    <t>New Users</t>
  </si>
  <si>
    <t>Number of Users (End of Period)</t>
  </si>
  <si>
    <t>Change in # of Users</t>
  </si>
  <si>
    <t>Net Change in Customers</t>
  </si>
  <si>
    <t>Hint: This is calculated by taking the number of new users minus the number of customers who canceled their services.</t>
  </si>
  <si>
    <t>Churn Rate</t>
  </si>
  <si>
    <t>Hint: Churn rate is calculated by taking the number of customers lost in a period divided by the number of total customers in the previous period.</t>
  </si>
  <si>
    <t>Output 3</t>
  </si>
  <si>
    <t>Annual Projections</t>
  </si>
  <si>
    <t>Populate the historical financial information from the income statement, balance sheet and statement of cash flows.</t>
  </si>
  <si>
    <t xml:space="preserve">For the 2023E figures, you will need to use annualized figures. To do this, multiply Q1 2023 metrics by 4. </t>
  </si>
  <si>
    <t>For the 2024E figures, the company is assuming the following:</t>
  </si>
  <si>
    <t>Revenues increase by 15%</t>
  </si>
  <si>
    <t>Operating income increases by 10%</t>
  </si>
  <si>
    <t>Net income increases by 8%</t>
  </si>
  <si>
    <t>FCF decreases by 2%</t>
  </si>
  <si>
    <t>Share count remains the same</t>
  </si>
  <si>
    <t>Debt remains the same</t>
  </si>
  <si>
    <t xml:space="preserve">Once you have finished populating the table, check to make sure your formatting matches column D. Then copy the table into the PowerPoint presentation. </t>
  </si>
  <si>
    <t xml:space="preserve">FY </t>
  </si>
  <si>
    <t>FY</t>
  </si>
  <si>
    <t>2020-2024E</t>
  </si>
  <si>
    <t>Financial Highlights</t>
  </si>
  <si>
    <t>2023E</t>
  </si>
  <si>
    <t>2024E</t>
  </si>
  <si>
    <t>CAGR</t>
  </si>
  <si>
    <t xml:space="preserve">&lt; Hint: CAGR is an abbrevation for Compound Annual Growth Rate. </t>
  </si>
  <si>
    <t>Learn how to Calculate CAGR</t>
  </si>
  <si>
    <t>Annual Growth</t>
  </si>
  <si>
    <t>Debt/EBITDA</t>
  </si>
  <si>
    <t>2.7x</t>
  </si>
  <si>
    <t>Consolidated Statements of Operations</t>
  </si>
  <si>
    <t>(unaudited)</t>
  </si>
  <si>
    <t>(in thousands, except per share data)</t>
  </si>
  <si>
    <t>Three Months Ended</t>
  </si>
  <si>
    <t>Twelve Months Ended</t>
  </si>
  <si>
    <t>March 31,</t>
  </si>
  <si>
    <t>June 30,</t>
  </si>
  <si>
    <t>September 30,</t>
  </si>
  <si>
    <t>December 31,</t>
  </si>
  <si>
    <t>Cost of revenues</t>
  </si>
  <si>
    <t>Marketing</t>
  </si>
  <si>
    <t>Technology and development</t>
  </si>
  <si>
    <t>General and administrative</t>
  </si>
  <si>
    <t>Operating income</t>
  </si>
  <si>
    <t>Other income (expense):</t>
  </si>
  <si>
    <t xml:space="preserve">Interest expense </t>
  </si>
  <si>
    <t>Interest and other income (expense)</t>
  </si>
  <si>
    <t>Income before income taxes</t>
  </si>
  <si>
    <t>Benefit from (provision for) income taxes</t>
  </si>
  <si>
    <t>Net income</t>
  </si>
  <si>
    <t>Earnings per share:</t>
  </si>
  <si>
    <t>Basic</t>
  </si>
  <si>
    <t>Diluted</t>
  </si>
  <si>
    <t>Weighted-average shares of common stock outstanding:</t>
  </si>
  <si>
    <t>Consolidated Balance Sheets</t>
  </si>
  <si>
    <t>(in thousands)</t>
  </si>
  <si>
    <t>Assets</t>
  </si>
  <si>
    <t>Current assets:</t>
  </si>
  <si>
    <t>Cash and cash equivalents</t>
  </si>
  <si>
    <t>Short-term investments</t>
  </si>
  <si>
    <t>Other current assets</t>
  </si>
  <si>
    <t>Total current assets</t>
  </si>
  <si>
    <t>Content assets, net</t>
  </si>
  <si>
    <t>Property and equipment, net</t>
  </si>
  <si>
    <t>Other non-current assets</t>
  </si>
  <si>
    <t>Total assets</t>
  </si>
  <si>
    <t>Liabilities and Stockholders' Equity</t>
  </si>
  <si>
    <t>Current liabilities:</t>
  </si>
  <si>
    <t>Current content liabilities</t>
  </si>
  <si>
    <t>Accounts payable</t>
  </si>
  <si>
    <t>Accrued expenses and other liabilities</t>
  </si>
  <si>
    <t>Deferred revenue</t>
  </si>
  <si>
    <t>Short-term debt</t>
  </si>
  <si>
    <t>Total current liabilities</t>
  </si>
  <si>
    <t>Non-current content liabilities</t>
  </si>
  <si>
    <t>Long-term debt</t>
  </si>
  <si>
    <t>Other non-current liabilities</t>
  </si>
  <si>
    <t>Total liabilities</t>
  </si>
  <si>
    <t>Stockholders' equity:</t>
  </si>
  <si>
    <t>Common stock</t>
  </si>
  <si>
    <t>Treasury stock at cost</t>
  </si>
  <si>
    <t>Accumulated other comprehensive income (loss)</t>
  </si>
  <si>
    <t>Retained earnings</t>
  </si>
  <si>
    <t>Total stockholders' equity</t>
  </si>
  <si>
    <t>Total liabilities and stockholders' equity</t>
  </si>
  <si>
    <t>Consolidated Statements of Cash Flows</t>
  </si>
  <si>
    <t>Cash flows from operating activities:</t>
  </si>
  <si>
    <t>Adjustments to reconcile net income to net cash</t>
  </si>
  <si>
    <t>provided by (used in) operating activities:</t>
  </si>
  <si>
    <t>Additions to content assets</t>
  </si>
  <si>
    <t>Change in content liabilities</t>
  </si>
  <si>
    <t>Amortization of content assets</t>
  </si>
  <si>
    <t>Depreciation and amortization of property, equipment and intangibles</t>
  </si>
  <si>
    <t>Stock-based compensation expense</t>
  </si>
  <si>
    <t>Foreign currency remeasurement loss (gain) on debt</t>
  </si>
  <si>
    <t>Other non-cash items</t>
  </si>
  <si>
    <t>Deferred income taxes</t>
  </si>
  <si>
    <t>Changes in operating assets and liabilities:</t>
  </si>
  <si>
    <t>Other non-current assets and liabilities</t>
  </si>
  <si>
    <t>Net cash provided by (used in) operating activities</t>
  </si>
  <si>
    <t>Cash flows from investing activities:</t>
  </si>
  <si>
    <t>Purchases of property and equipment</t>
  </si>
  <si>
    <t>Change in other assets</t>
  </si>
  <si>
    <t>Acquisitions</t>
  </si>
  <si>
    <t>Purchases of short-term investments</t>
  </si>
  <si>
    <t>Net cash used in investing activities</t>
  </si>
  <si>
    <t>Cash flows from financing activities:</t>
  </si>
  <si>
    <t>Proceeds from issuance of debt</t>
  </si>
  <si>
    <t>Debt issuance costs</t>
  </si>
  <si>
    <t>Repayments of debt</t>
  </si>
  <si>
    <t>Proceeds from issuance of common stock</t>
  </si>
  <si>
    <t>Repurchases of common stock</t>
  </si>
  <si>
    <t>Taxes paid related to net share settlement of equity awards</t>
  </si>
  <si>
    <t>Net cash provided by (used in) financing activities</t>
  </si>
  <si>
    <t>Effect of exchange rate changes on cash, cash equivalents, and restricted cash</t>
  </si>
  <si>
    <t>Net increase (decrease) in cash, cash equivalents, and restricted cash</t>
  </si>
  <si>
    <t>Cash, cash equivalents, and restricted cash beginning of period</t>
  </si>
  <si>
    <t xml:space="preserve"> Cash, cash equivalents, and restricted cash end of period</t>
  </si>
  <si>
    <t>Non-GAAP free cash flow reconciliation:</t>
  </si>
  <si>
    <t>Non-GAAP free cash flow</t>
  </si>
  <si>
    <t>Revenue</t>
  </si>
  <si>
    <t>Quarterly Subscription Cost</t>
  </si>
  <si>
    <t>Users (Beginning of Period)</t>
  </si>
  <si>
    <t>New users</t>
  </si>
  <si>
    <t>Users who canceled</t>
  </si>
  <si>
    <t xml:space="preserve">Users (End of Period) </t>
  </si>
  <si>
    <t>Change in users</t>
  </si>
  <si>
    <t>Churn rate</t>
  </si>
  <si>
    <t xml:space="preserve">Hint: # of customers </t>
  </si>
  <si>
    <t xml:space="preserve">Non GAAP Free Cash Flow (FCF) </t>
  </si>
  <si>
    <t>BigTech 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</si>
</sst>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"/>
    <numFmt numFmtId="165" formatCode="&quot;$&quot;#,##0.00"/>
    <numFmt numFmtId="166" formatCode="_(* #,##0_);_(* \(#,##0\);_(* &quot;-&quot;??_);_(@_)"/>
    <numFmt numFmtId="167" formatCode="0.0%"/>
    <numFmt numFmtId="168" formatCode="0.0\x"/>
    <numFmt numFmtId="169" formatCode="#,##0.0\ ;\(#,##0.0\)"/>
    <numFmt numFmtId="170" formatCode="&quot;$&quot;#,##0\ ;\(&quot;$&quot;#,##0.0\)"/>
    <numFmt numFmtId="171" formatCode="&quot;$&quot;* #,###\ ;&quot;$&quot;* \(#,###\);&quot;$&quot;* \-\ "/>
    <numFmt numFmtId="172" formatCode="_(&quot;$&quot;* #,##0_);_(&quot;$&quot;* \(#,##0\);_(&quot;$&quot;* &quot;-&quot;??_);_(@_)"/>
    <numFmt numFmtId="173" formatCode="#,##0\ ;\(#,##0.0\)"/>
    <numFmt numFmtId="174" formatCode="&quot;$&quot;* #,###.00\ ;&quot;$&quot;* \(#,###.00\);&quot;$&quot;* \-\ "/>
    <numFmt numFmtId="175" formatCode="_([$€-2]* #,##0.00_);_([$€-2]* \(#,##0.00\);_([$€-2]* &quot;-&quot;??_)"/>
    <numFmt numFmtId="176" formatCode="0.0%;[Red]\(0.0%\)"/>
  </numFmts>
  <fonts count="40" x14ac:knownFonts="1">
    <font>
      <sz val="11"/>
      <color theme="1"/>
      <name val="Calibri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u/>
      <sz val="12"/>
      <color theme="1"/>
      <name val="Calibri"/>
      <family val="2"/>
    </font>
    <font>
      <b/>
      <u/>
      <sz val="12"/>
      <color theme="1"/>
      <name val="Calibri"/>
      <family val="2"/>
    </font>
    <font>
      <b/>
      <u/>
      <sz val="12"/>
      <color theme="1"/>
      <name val="Calibri"/>
      <family val="2"/>
    </font>
    <font>
      <b/>
      <u/>
      <sz val="12"/>
      <color theme="1"/>
      <name val="Calibri"/>
      <family val="2"/>
    </font>
    <font>
      <i/>
      <sz val="12"/>
      <color theme="1"/>
      <name val="Calibri"/>
      <family val="2"/>
    </font>
    <font>
      <b/>
      <u/>
      <sz val="12"/>
      <color theme="1"/>
      <name val="Calibri"/>
      <family val="2"/>
    </font>
    <font>
      <b/>
      <u/>
      <sz val="12"/>
      <color theme="1"/>
      <name val="Calibri"/>
      <family val="2"/>
    </font>
    <font>
      <b/>
      <u/>
      <sz val="12"/>
      <color theme="1"/>
      <name val="Calibri"/>
      <family val="2"/>
    </font>
    <font>
      <u/>
      <sz val="12"/>
      <color theme="1"/>
      <name val="Calibri"/>
      <family val="2"/>
    </font>
    <font>
      <u/>
      <sz val="12"/>
      <color theme="1"/>
      <name val="Calibri"/>
      <family val="2"/>
    </font>
    <font>
      <sz val="11"/>
      <color theme="1"/>
      <name val="Calibri"/>
      <family val="2"/>
    </font>
    <font>
      <i/>
      <sz val="11"/>
      <color theme="1"/>
      <name val="Calibri"/>
      <family val="2"/>
    </font>
    <font>
      <u/>
      <sz val="12"/>
      <color theme="1"/>
      <name val="Calibri"/>
      <family val="2"/>
    </font>
    <font>
      <u/>
      <sz val="12"/>
      <color theme="1"/>
      <name val="Calibri"/>
      <family val="2"/>
    </font>
    <font>
      <i/>
      <u/>
      <sz val="12"/>
      <color theme="1"/>
      <name val="Calibri"/>
      <family val="2"/>
    </font>
    <font>
      <u/>
      <sz val="12"/>
      <color theme="1"/>
      <name val="Calibri"/>
      <family val="2"/>
    </font>
    <font>
      <u/>
      <sz val="11"/>
      <color theme="10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b/>
      <u/>
      <sz val="10"/>
      <color theme="1"/>
      <name val="Calibri"/>
      <family val="2"/>
    </font>
    <font>
      <b/>
      <u/>
      <sz val="10"/>
      <color theme="1"/>
      <name val="Calibri"/>
      <family val="2"/>
    </font>
    <font>
      <b/>
      <u/>
      <sz val="10"/>
      <color theme="1"/>
      <name val="Calibri"/>
      <family val="2"/>
    </font>
    <font>
      <b/>
      <sz val="10"/>
      <color theme="1"/>
      <name val="Calibri"/>
      <family val="2"/>
    </font>
    <font>
      <b/>
      <u/>
      <sz val="10"/>
      <color theme="1"/>
      <name val="Calibri"/>
      <family val="2"/>
    </font>
    <font>
      <b/>
      <u/>
      <sz val="10"/>
      <color theme="1"/>
      <name val="Calibri"/>
      <family val="2"/>
    </font>
    <font>
      <sz val="10"/>
      <color rgb="FF0432FF"/>
      <name val="Calibri"/>
      <family val="2"/>
    </font>
    <font>
      <b/>
      <sz val="10"/>
      <color rgb="FF0432FF"/>
      <name val="Calibri"/>
      <family val="2"/>
    </font>
    <font>
      <b/>
      <u/>
      <sz val="10"/>
      <color theme="1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u/>
      <sz val="10"/>
      <color theme="1"/>
      <name val="Calibri"/>
      <family val="2"/>
    </font>
    <font>
      <sz val="10"/>
      <color rgb="FF0000FF"/>
      <name val="Calibri"/>
      <family val="2"/>
    </font>
    <font>
      <b/>
      <u/>
      <sz val="10"/>
      <color theme="1"/>
      <name val="Calibri"/>
      <family val="2"/>
    </font>
    <font>
      <b/>
      <i/>
      <sz val="10"/>
      <color rgb="FF000000"/>
      <name val="Calibri"/>
      <family val="2"/>
    </font>
    <font>
      <b/>
      <i/>
      <sz val="10"/>
      <color theme="1"/>
      <name val="Calibri"/>
      <family val="2"/>
    </font>
    <font>
      <sz val="10"/>
      <color rgb="FF008000"/>
      <name val="Calibri"/>
      <family val="2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FEF2CB"/>
        <bgColor rgb="FFFEF2CB"/>
      </patternFill>
    </fill>
    <fill>
      <patternFill patternType="solid">
        <fgColor rgb="FFD9E2F3"/>
        <bgColor rgb="FFD9E2F3"/>
      </patternFill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</fills>
  <borders count="2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1" xfId="0" applyFont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4" fillId="0" borderId="4" xfId="0" applyFont="1" applyBorder="1"/>
    <xf numFmtId="0" fontId="2" fillId="2" borderId="6" xfId="0" applyFont="1" applyFill="1" applyBorder="1"/>
    <xf numFmtId="164" fontId="1" fillId="2" borderId="7" xfId="0" applyNumberFormat="1" applyFont="1" applyFill="1" applyBorder="1"/>
    <xf numFmtId="164" fontId="1" fillId="2" borderId="8" xfId="0" applyNumberFormat="1" applyFont="1" applyFill="1" applyBorder="1"/>
    <xf numFmtId="164" fontId="1" fillId="0" borderId="0" xfId="0" applyNumberFormat="1" applyFont="1"/>
    <xf numFmtId="0" fontId="7" fillId="0" borderId="0" xfId="0" applyFont="1"/>
    <xf numFmtId="0" fontId="7" fillId="0" borderId="4" xfId="0" applyFont="1" applyBorder="1" applyAlignment="1">
      <alignment horizontal="left"/>
    </xf>
    <xf numFmtId="9" fontId="7" fillId="0" borderId="0" xfId="0" applyNumberFormat="1" applyFont="1"/>
    <xf numFmtId="9" fontId="7" fillId="0" borderId="5" xfId="0" applyNumberFormat="1" applyFont="1" applyBorder="1"/>
    <xf numFmtId="165" fontId="1" fillId="2" borderId="7" xfId="0" applyNumberFormat="1" applyFont="1" applyFill="1" applyBorder="1"/>
    <xf numFmtId="165" fontId="1" fillId="2" borderId="8" xfId="0" applyNumberFormat="1" applyFont="1" applyFill="1" applyBorder="1"/>
    <xf numFmtId="0" fontId="1" fillId="0" borderId="5" xfId="0" applyFont="1" applyBorder="1"/>
    <xf numFmtId="0" fontId="1" fillId="0" borderId="0" xfId="0" applyFont="1" applyAlignment="1">
      <alignment horizontal="left"/>
    </xf>
    <xf numFmtId="0" fontId="8" fillId="0" borderId="1" xfId="0" applyFont="1" applyBorder="1"/>
    <xf numFmtId="0" fontId="9" fillId="0" borderId="2" xfId="0" quotePrefix="1" applyFont="1" applyBorder="1" applyAlignment="1">
      <alignment horizontal="center"/>
    </xf>
    <xf numFmtId="0" fontId="10" fillId="0" borderId="3" xfId="0" quotePrefix="1" applyFont="1" applyBorder="1" applyAlignment="1">
      <alignment horizontal="center"/>
    </xf>
    <xf numFmtId="0" fontId="1" fillId="0" borderId="4" xfId="0" applyFont="1" applyBorder="1"/>
    <xf numFmtId="9" fontId="1" fillId="0" borderId="0" xfId="0" applyNumberFormat="1" applyFont="1"/>
    <xf numFmtId="9" fontId="1" fillId="0" borderId="5" xfId="0" applyNumberFormat="1" applyFont="1" applyBorder="1"/>
    <xf numFmtId="0" fontId="1" fillId="3" borderId="7" xfId="0" applyFont="1" applyFill="1" applyBorder="1"/>
    <xf numFmtId="0" fontId="1" fillId="0" borderId="10" xfId="0" applyFont="1" applyBorder="1"/>
    <xf numFmtId="165" fontId="1" fillId="0" borderId="11" xfId="0" applyNumberFormat="1" applyFont="1" applyBorder="1"/>
    <xf numFmtId="165" fontId="1" fillId="0" borderId="12" xfId="0" applyNumberFormat="1" applyFont="1" applyBorder="1"/>
    <xf numFmtId="0" fontId="1" fillId="0" borderId="1" xfId="0" applyFont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1" fillId="0" borderId="4" xfId="0" quotePrefix="1" applyFont="1" applyBorder="1" applyAlignment="1">
      <alignment horizontal="left"/>
    </xf>
    <xf numFmtId="0" fontId="13" fillId="0" borderId="4" xfId="0" applyFont="1" applyBorder="1"/>
    <xf numFmtId="0" fontId="13" fillId="0" borderId="5" xfId="0" applyFont="1" applyBorder="1"/>
    <xf numFmtId="164" fontId="13" fillId="0" borderId="0" xfId="0" applyNumberFormat="1" applyFont="1"/>
    <xf numFmtId="164" fontId="13" fillId="0" borderId="5" xfId="0" applyNumberFormat="1" applyFont="1" applyBorder="1"/>
    <xf numFmtId="166" fontId="13" fillId="0" borderId="0" xfId="0" applyNumberFormat="1" applyFont="1"/>
    <xf numFmtId="166" fontId="13" fillId="0" borderId="5" xfId="0" applyNumberFormat="1" applyFont="1" applyBorder="1"/>
    <xf numFmtId="0" fontId="13" fillId="3" borderId="7" xfId="0" applyFont="1" applyFill="1" applyBorder="1"/>
    <xf numFmtId="0" fontId="14" fillId="0" borderId="0" xfId="0" applyFont="1"/>
    <xf numFmtId="0" fontId="14" fillId="0" borderId="4" xfId="0" applyFont="1" applyBorder="1" applyAlignment="1">
      <alignment horizontal="left"/>
    </xf>
    <xf numFmtId="166" fontId="14" fillId="0" borderId="0" xfId="0" applyNumberFormat="1" applyFont="1"/>
    <xf numFmtId="9" fontId="14" fillId="0" borderId="0" xfId="0" applyNumberFormat="1" applyFont="1"/>
    <xf numFmtId="9" fontId="14" fillId="0" borderId="5" xfId="0" applyNumberFormat="1" applyFont="1" applyBorder="1"/>
    <xf numFmtId="0" fontId="13" fillId="4" borderId="13" xfId="0" applyFont="1" applyFill="1" applyBorder="1"/>
    <xf numFmtId="167" fontId="13" fillId="4" borderId="14" xfId="0" applyNumberFormat="1" applyFont="1" applyFill="1" applyBorder="1"/>
    <xf numFmtId="167" fontId="13" fillId="4" borderId="15" xfId="0" applyNumberFormat="1" applyFont="1" applyFill="1" applyBorder="1"/>
    <xf numFmtId="0" fontId="1" fillId="0" borderId="0" xfId="0" applyFont="1" applyAlignment="1">
      <alignment horizontal="center"/>
    </xf>
    <xf numFmtId="0" fontId="1" fillId="0" borderId="4" xfId="0" applyFont="1" applyBorder="1" applyAlignment="1">
      <alignment horizontal="center"/>
    </xf>
    <xf numFmtId="0" fontId="7" fillId="4" borderId="7" xfId="0" applyFont="1" applyFill="1" applyBorder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1" fillId="3" borderId="7" xfId="0" quotePrefix="1" applyFont="1" applyFill="1" applyBorder="1" applyAlignment="1">
      <alignment horizontal="left"/>
    </xf>
    <xf numFmtId="164" fontId="1" fillId="0" borderId="4" xfId="0" applyNumberFormat="1" applyFont="1" applyBorder="1"/>
    <xf numFmtId="9" fontId="14" fillId="4" borderId="7" xfId="0" applyNumberFormat="1" applyFont="1" applyFill="1" applyBorder="1"/>
    <xf numFmtId="0" fontId="19" fillId="0" borderId="0" xfId="0" applyFont="1"/>
    <xf numFmtId="0" fontId="7" fillId="0" borderId="0" xfId="0" applyFont="1" applyAlignment="1">
      <alignment horizontal="left"/>
    </xf>
    <xf numFmtId="9" fontId="1" fillId="0" borderId="4" xfId="0" applyNumberFormat="1" applyFont="1" applyBorder="1"/>
    <xf numFmtId="0" fontId="14" fillId="4" borderId="7" xfId="0" applyFont="1" applyFill="1" applyBorder="1"/>
    <xf numFmtId="165" fontId="1" fillId="0" borderId="0" xfId="0" applyNumberFormat="1" applyFont="1"/>
    <xf numFmtId="165" fontId="1" fillId="0" borderId="4" xfId="0" applyNumberFormat="1" applyFont="1" applyBorder="1"/>
    <xf numFmtId="0" fontId="13" fillId="0" borderId="2" xfId="0" applyFont="1" applyBorder="1"/>
    <xf numFmtId="0" fontId="1" fillId="0" borderId="2" xfId="0" applyFont="1" applyBorder="1"/>
    <xf numFmtId="0" fontId="13" fillId="0" borderId="1" xfId="0" applyFont="1" applyBorder="1"/>
    <xf numFmtId="0" fontId="13" fillId="0" borderId="3" xfId="0" applyFont="1" applyBorder="1"/>
    <xf numFmtId="9" fontId="13" fillId="0" borderId="0" xfId="0" applyNumberFormat="1" applyFont="1"/>
    <xf numFmtId="9" fontId="13" fillId="0" borderId="4" xfId="0" applyNumberFormat="1" applyFont="1" applyBorder="1"/>
    <xf numFmtId="9" fontId="13" fillId="0" borderId="5" xfId="0" applyNumberFormat="1" applyFont="1" applyBorder="1"/>
    <xf numFmtId="168" fontId="1" fillId="0" borderId="0" xfId="0" applyNumberFormat="1" applyFont="1" applyAlignment="1">
      <alignment horizontal="right"/>
    </xf>
    <xf numFmtId="168" fontId="1" fillId="0" borderId="0" xfId="0" applyNumberFormat="1" applyFont="1"/>
    <xf numFmtId="168" fontId="1" fillId="0" borderId="4" xfId="0" applyNumberFormat="1" applyFont="1" applyBorder="1"/>
    <xf numFmtId="168" fontId="1" fillId="0" borderId="5" xfId="0" applyNumberFormat="1" applyFont="1" applyBorder="1"/>
    <xf numFmtId="165" fontId="13" fillId="0" borderId="11" xfId="0" applyNumberFormat="1" applyFont="1" applyBorder="1"/>
    <xf numFmtId="165" fontId="13" fillId="0" borderId="10" xfId="0" applyNumberFormat="1" applyFont="1" applyBorder="1"/>
    <xf numFmtId="165" fontId="13" fillId="0" borderId="12" xfId="0" applyNumberFormat="1" applyFont="1" applyBorder="1"/>
    <xf numFmtId="0" fontId="20" fillId="0" borderId="0" xfId="0" applyFont="1"/>
    <xf numFmtId="0" fontId="21" fillId="0" borderId="0" xfId="0" applyFont="1"/>
    <xf numFmtId="169" fontId="22" fillId="0" borderId="0" xfId="0" applyNumberFormat="1" applyFont="1" applyAlignment="1">
      <alignment horizontal="center"/>
    </xf>
    <xf numFmtId="169" fontId="23" fillId="0" borderId="0" xfId="0" applyNumberFormat="1" applyFont="1" applyAlignment="1">
      <alignment horizontal="center" wrapText="1"/>
    </xf>
    <xf numFmtId="169" fontId="24" fillId="5" borderId="7" xfId="0" applyNumberFormat="1" applyFont="1" applyFill="1" applyBorder="1" applyAlignment="1">
      <alignment horizontal="center"/>
    </xf>
    <xf numFmtId="169" fontId="25" fillId="0" borderId="0" xfId="0" applyNumberFormat="1" applyFont="1" applyAlignment="1">
      <alignment horizontal="center"/>
    </xf>
    <xf numFmtId="169" fontId="25" fillId="5" borderId="7" xfId="0" applyNumberFormat="1" applyFont="1" applyFill="1" applyBorder="1" applyAlignment="1">
      <alignment horizontal="center"/>
    </xf>
    <xf numFmtId="0" fontId="26" fillId="0" borderId="0" xfId="0" applyFont="1" applyAlignment="1">
      <alignment horizontal="center"/>
    </xf>
    <xf numFmtId="0" fontId="27" fillId="5" borderId="7" xfId="0" applyFont="1" applyFill="1" applyBorder="1" applyAlignment="1">
      <alignment horizontal="center"/>
    </xf>
    <xf numFmtId="170" fontId="21" fillId="0" borderId="0" xfId="0" applyNumberFormat="1" applyFont="1"/>
    <xf numFmtId="0" fontId="25" fillId="5" borderId="7" xfId="0" applyFont="1" applyFill="1" applyBorder="1"/>
    <xf numFmtId="171" fontId="21" fillId="0" borderId="0" xfId="0" applyNumberFormat="1" applyFont="1"/>
    <xf numFmtId="172" fontId="28" fillId="0" borderId="0" xfId="0" applyNumberFormat="1" applyFont="1" applyAlignment="1">
      <alignment horizontal="right"/>
    </xf>
    <xf numFmtId="172" fontId="25" fillId="5" borderId="7" xfId="0" applyNumberFormat="1" applyFont="1" applyFill="1" applyBorder="1" applyAlignment="1">
      <alignment horizontal="right"/>
    </xf>
    <xf numFmtId="3" fontId="28" fillId="0" borderId="0" xfId="0" applyNumberFormat="1" applyFont="1" applyAlignment="1">
      <alignment horizontal="right" wrapText="1"/>
    </xf>
    <xf numFmtId="166" fontId="25" fillId="5" borderId="7" xfId="0" applyNumberFormat="1" applyFont="1" applyFill="1" applyBorder="1"/>
    <xf numFmtId="166" fontId="21" fillId="0" borderId="0" xfId="0" applyNumberFormat="1" applyFont="1"/>
    <xf numFmtId="3" fontId="28" fillId="0" borderId="11" xfId="0" applyNumberFormat="1" applyFont="1" applyBorder="1" applyAlignment="1">
      <alignment horizontal="right" wrapText="1"/>
    </xf>
    <xf numFmtId="166" fontId="21" fillId="0" borderId="2" xfId="0" applyNumberFormat="1" applyFont="1" applyBorder="1"/>
    <xf numFmtId="166" fontId="25" fillId="5" borderId="16" xfId="0" applyNumberFormat="1" applyFont="1" applyFill="1" applyBorder="1"/>
    <xf numFmtId="166" fontId="28" fillId="0" borderId="0" xfId="0" applyNumberFormat="1" applyFont="1"/>
    <xf numFmtId="166" fontId="28" fillId="0" borderId="11" xfId="0" applyNumberFormat="1" applyFont="1" applyBorder="1"/>
    <xf numFmtId="172" fontId="21" fillId="0" borderId="17" xfId="0" applyNumberFormat="1" applyFont="1" applyBorder="1"/>
    <xf numFmtId="172" fontId="25" fillId="5" borderId="18" xfId="0" applyNumberFormat="1" applyFont="1" applyFill="1" applyBorder="1"/>
    <xf numFmtId="173" fontId="21" fillId="0" borderId="0" xfId="0" applyNumberFormat="1" applyFont="1"/>
    <xf numFmtId="173" fontId="25" fillId="5" borderId="7" xfId="0" applyNumberFormat="1" applyFont="1" applyFill="1" applyBorder="1"/>
    <xf numFmtId="44" fontId="21" fillId="0" borderId="0" xfId="0" applyNumberFormat="1" applyFont="1"/>
    <xf numFmtId="174" fontId="21" fillId="0" borderId="0" xfId="0" applyNumberFormat="1" applyFont="1"/>
    <xf numFmtId="44" fontId="25" fillId="5" borderId="7" xfId="0" applyNumberFormat="1" applyFont="1" applyFill="1" applyBorder="1"/>
    <xf numFmtId="3" fontId="21" fillId="0" borderId="0" xfId="0" applyNumberFormat="1" applyFont="1"/>
    <xf numFmtId="3" fontId="28" fillId="0" borderId="0" xfId="0" applyNumberFormat="1" applyFont="1"/>
    <xf numFmtId="166" fontId="29" fillId="5" borderId="7" xfId="0" applyNumberFormat="1" applyFont="1" applyFill="1" applyBorder="1"/>
    <xf numFmtId="0" fontId="25" fillId="0" borderId="0" xfId="0" applyFont="1"/>
    <xf numFmtId="164" fontId="21" fillId="0" borderId="0" xfId="0" applyNumberFormat="1" applyFont="1"/>
    <xf numFmtId="0" fontId="25" fillId="6" borderId="7" xfId="0" applyFont="1" applyFill="1" applyBorder="1" applyAlignment="1">
      <alignment horizontal="center"/>
    </xf>
    <xf numFmtId="0" fontId="25" fillId="5" borderId="7" xfId="0" applyFont="1" applyFill="1" applyBorder="1" applyAlignment="1">
      <alignment horizontal="center"/>
    </xf>
    <xf numFmtId="0" fontId="30" fillId="6" borderId="7" xfId="0" applyFont="1" applyFill="1" applyBorder="1" applyAlignment="1">
      <alignment horizontal="center"/>
    </xf>
    <xf numFmtId="0" fontId="25" fillId="6" borderId="7" xfId="0" applyFont="1" applyFill="1" applyBorder="1"/>
    <xf numFmtId="172" fontId="31" fillId="0" borderId="0" xfId="0" applyNumberFormat="1" applyFont="1"/>
    <xf numFmtId="172" fontId="31" fillId="6" borderId="7" xfId="0" applyNumberFormat="1" applyFont="1" applyFill="1" applyBorder="1"/>
    <xf numFmtId="172" fontId="21" fillId="0" borderId="0" xfId="0" applyNumberFormat="1" applyFont="1"/>
    <xf numFmtId="172" fontId="32" fillId="5" borderId="7" xfId="0" applyNumberFormat="1" applyFont="1" applyFill="1" applyBorder="1"/>
    <xf numFmtId="166" fontId="31" fillId="0" borderId="0" xfId="0" applyNumberFormat="1" applyFont="1"/>
    <xf numFmtId="166" fontId="31" fillId="6" borderId="7" xfId="0" applyNumberFormat="1" applyFont="1" applyFill="1" applyBorder="1"/>
    <xf numFmtId="166" fontId="32" fillId="5" borderId="7" xfId="0" applyNumberFormat="1" applyFont="1" applyFill="1" applyBorder="1"/>
    <xf numFmtId="166" fontId="31" fillId="0" borderId="11" xfId="0" applyNumberFormat="1" applyFont="1" applyBorder="1"/>
    <xf numFmtId="166" fontId="31" fillId="6" borderId="14" xfId="0" applyNumberFormat="1" applyFont="1" applyFill="1" applyBorder="1"/>
    <xf numFmtId="166" fontId="32" fillId="0" borderId="0" xfId="0" applyNumberFormat="1" applyFont="1"/>
    <xf numFmtId="166" fontId="32" fillId="6" borderId="7" xfId="0" applyNumberFormat="1" applyFont="1" applyFill="1" applyBorder="1"/>
    <xf numFmtId="166" fontId="31" fillId="0" borderId="2" xfId="0" applyNumberFormat="1" applyFont="1" applyBorder="1"/>
    <xf numFmtId="166" fontId="32" fillId="5" borderId="16" xfId="0" applyNumberFormat="1" applyFont="1" applyFill="1" applyBorder="1"/>
    <xf numFmtId="0" fontId="21" fillId="7" borderId="7" xfId="0" applyFont="1" applyFill="1" applyBorder="1"/>
    <xf numFmtId="166" fontId="21" fillId="0" borderId="11" xfId="0" applyNumberFormat="1" applyFont="1" applyBorder="1"/>
    <xf numFmtId="172" fontId="32" fillId="0" borderId="17" xfId="0" applyNumberFormat="1" applyFont="1" applyBorder="1"/>
    <xf numFmtId="172" fontId="32" fillId="6" borderId="18" xfId="0" applyNumberFormat="1" applyFont="1" applyFill="1" applyBorder="1"/>
    <xf numFmtId="172" fontId="32" fillId="5" borderId="18" xfId="0" applyNumberFormat="1" applyFont="1" applyFill="1" applyBorder="1"/>
    <xf numFmtId="171" fontId="31" fillId="0" borderId="0" xfId="0" applyNumberFormat="1" applyFont="1"/>
    <xf numFmtId="171" fontId="31" fillId="6" borderId="7" xfId="0" applyNumberFormat="1" applyFont="1" applyFill="1" applyBorder="1"/>
    <xf numFmtId="171" fontId="31" fillId="5" borderId="7" xfId="0" applyNumberFormat="1" applyFont="1" applyFill="1" applyBorder="1"/>
    <xf numFmtId="166" fontId="32" fillId="5" borderId="14" xfId="0" applyNumberFormat="1" applyFont="1" applyFill="1" applyBorder="1"/>
    <xf numFmtId="172" fontId="32" fillId="0" borderId="0" xfId="0" applyNumberFormat="1" applyFont="1"/>
    <xf numFmtId="172" fontId="32" fillId="6" borderId="7" xfId="0" applyNumberFormat="1" applyFont="1" applyFill="1" applyBorder="1"/>
    <xf numFmtId="0" fontId="21" fillId="0" borderId="0" xfId="0" applyFont="1" applyAlignment="1">
      <alignment horizontal="left" wrapText="1"/>
    </xf>
    <xf numFmtId="166" fontId="25" fillId="0" borderId="0" xfId="0" applyNumberFormat="1" applyFont="1"/>
    <xf numFmtId="175" fontId="21" fillId="0" borderId="0" xfId="0" applyNumberFormat="1" applyFont="1"/>
    <xf numFmtId="169" fontId="33" fillId="5" borderId="7" xfId="0" applyNumberFormat="1" applyFont="1" applyFill="1" applyBorder="1" applyAlignment="1">
      <alignment horizontal="center" wrapText="1"/>
    </xf>
    <xf numFmtId="166" fontId="34" fillId="0" borderId="0" xfId="0" applyNumberFormat="1" applyFont="1"/>
    <xf numFmtId="1" fontId="35" fillId="5" borderId="7" xfId="0" applyNumberFormat="1" applyFont="1" applyFill="1" applyBorder="1" applyAlignment="1">
      <alignment horizontal="center"/>
    </xf>
    <xf numFmtId="171" fontId="28" fillId="0" borderId="0" xfId="0" applyNumberFormat="1" applyFont="1"/>
    <xf numFmtId="172" fontId="25" fillId="5" borderId="7" xfId="0" applyNumberFormat="1" applyFont="1" applyFill="1" applyBorder="1"/>
    <xf numFmtId="166" fontId="21" fillId="0" borderId="9" xfId="0" applyNumberFormat="1" applyFont="1" applyBorder="1"/>
    <xf numFmtId="166" fontId="25" fillId="5" borderId="19" xfId="0" applyNumberFormat="1" applyFont="1" applyFill="1" applyBorder="1"/>
    <xf numFmtId="171" fontId="21" fillId="0" borderId="17" xfId="0" applyNumberFormat="1" applyFont="1" applyBorder="1"/>
    <xf numFmtId="171" fontId="25" fillId="5" borderId="18" xfId="0" applyNumberFormat="1" applyFont="1" applyFill="1" applyBorder="1"/>
    <xf numFmtId="176" fontId="36" fillId="0" borderId="0" xfId="0" applyNumberFormat="1" applyFont="1"/>
    <xf numFmtId="176" fontId="25" fillId="0" borderId="0" xfId="0" applyNumberFormat="1" applyFont="1"/>
    <xf numFmtId="176" fontId="37" fillId="0" borderId="0" xfId="0" applyNumberFormat="1" applyFont="1"/>
    <xf numFmtId="166" fontId="38" fillId="0" borderId="0" xfId="0" applyNumberFormat="1" applyFont="1"/>
    <xf numFmtId="0" fontId="39" fillId="0" borderId="0" xfId="0" applyFont="1"/>
    <xf numFmtId="6" fontId="13" fillId="0" borderId="0" xfId="0" applyNumberFormat="1" applyFont="1"/>
    <xf numFmtId="8" fontId="13" fillId="0" borderId="0" xfId="0" applyNumberFormat="1" applyFont="1"/>
    <xf numFmtId="166" fontId="20" fillId="0" borderId="0" xfId="0" applyNumberFormat="1" applyFont="1"/>
    <xf numFmtId="0" fontId="2" fillId="0" borderId="20" xfId="0" applyFont="1" applyBorder="1" applyAlignment="1">
      <alignment horizontal="left" wrapText="1"/>
    </xf>
    <xf numFmtId="164" fontId="1" fillId="0" borderId="21" xfId="0" applyNumberFormat="1" applyFont="1" applyBorder="1"/>
    <xf numFmtId="164" fontId="1" fillId="0" borderId="22" xfId="0" applyNumberFormat="1" applyFont="1" applyBorder="1"/>
    <xf numFmtId="0" fontId="2" fillId="0" borderId="7" xfId="0" applyFont="1" applyBorder="1" applyAlignment="1">
      <alignment horizontal="left" wrapText="1"/>
    </xf>
    <xf numFmtId="49" fontId="5" fillId="0" borderId="0" xfId="0" quotePrefix="1" applyNumberFormat="1" applyFont="1" applyAlignment="1">
      <alignment horizontal="center"/>
    </xf>
    <xf numFmtId="49" fontId="6" fillId="0" borderId="5" xfId="0" quotePrefix="1" applyNumberFormat="1" applyFont="1" applyBorder="1" applyAlignment="1">
      <alignment horizontal="center"/>
    </xf>
    <xf numFmtId="49" fontId="11" fillId="0" borderId="0" xfId="0" quotePrefix="1" applyNumberFormat="1" applyFont="1" applyAlignment="1">
      <alignment horizontal="center"/>
    </xf>
    <xf numFmtId="49" fontId="11" fillId="0" borderId="5" xfId="0" quotePrefix="1" applyNumberFormat="1" applyFont="1" applyBorder="1" applyAlignment="1">
      <alignment horizontal="center"/>
    </xf>
    <xf numFmtId="49" fontId="12" fillId="0" borderId="0" xfId="0" quotePrefix="1" applyNumberFormat="1" applyFont="1" applyAlignment="1">
      <alignment horizontal="center"/>
    </xf>
    <xf numFmtId="49" fontId="16" fillId="0" borderId="4" xfId="0" quotePrefix="1" applyNumberFormat="1" applyFont="1" applyBorder="1" applyAlignment="1">
      <alignment horizontal="center"/>
    </xf>
    <xf numFmtId="49" fontId="17" fillId="4" borderId="7" xfId="0" quotePrefix="1" applyNumberFormat="1" applyFont="1" applyFill="1" applyBorder="1" applyAlignment="1">
      <alignment horizontal="center"/>
    </xf>
    <xf numFmtId="169" fontId="23" fillId="0" borderId="0" xfId="0" applyNumberFormat="1" applyFont="1" applyAlignment="1">
      <alignment horizontal="center" wrapText="1"/>
    </xf>
    <xf numFmtId="0" fontId="0" fillId="0" borderId="0" xfId="0"/>
    <xf numFmtId="169" fontId="22" fillId="0" borderId="0" xfId="0" applyNumberFormat="1" applyFont="1" applyAlignment="1">
      <alignment horizontal="center"/>
    </xf>
    <xf numFmtId="0" fontId="2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gcforage/Downloads/Stargaze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ome Statemen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vestopedia.com/terms/c/cagr.a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Z1001"/>
  <sheetViews>
    <sheetView showGridLines="0" topLeftCell="A4" zoomScale="112" zoomScaleNormal="70" workbookViewId="0">
      <selection activeCell="K26" sqref="K26"/>
    </sheetView>
  </sheetViews>
  <sheetFormatPr baseColWidth="10" defaultColWidth="14.5" defaultRowHeight="15" customHeight="1" x14ac:dyDescent="0.2"/>
  <cols>
    <col min="1" max="1" width="9.1640625" customWidth="1"/>
    <col min="2" max="2" width="51.83203125" customWidth="1"/>
    <col min="3" max="11" width="13.5" customWidth="1"/>
    <col min="12" max="12" width="9.1640625" customWidth="1"/>
    <col min="13" max="13" width="66" customWidth="1"/>
    <col min="14" max="26" width="8.6640625" customWidth="1"/>
  </cols>
  <sheetData>
    <row r="1" spans="1:26" ht="15.7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1"/>
      <c r="B3" s="2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1"/>
      <c r="B4" s="2" t="s">
        <v>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1"/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1"/>
      <c r="B6" s="3" t="s">
        <v>3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1"/>
      <c r="B7" s="1" t="s">
        <v>4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1"/>
      <c r="B8" s="1" t="s">
        <v>5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1"/>
      <c r="B9" s="1" t="s">
        <v>6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1"/>
      <c r="B10" s="1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1"/>
      <c r="B11" s="1" t="s">
        <v>8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1"/>
      <c r="B14" s="4" t="s">
        <v>175</v>
      </c>
      <c r="C14" s="5" t="s">
        <v>9</v>
      </c>
      <c r="D14" s="5" t="s">
        <v>10</v>
      </c>
      <c r="E14" s="5" t="s">
        <v>11</v>
      </c>
      <c r="F14" s="5" t="s">
        <v>12</v>
      </c>
      <c r="G14" s="5" t="s">
        <v>9</v>
      </c>
      <c r="H14" s="5" t="s">
        <v>10</v>
      </c>
      <c r="I14" s="5" t="s">
        <v>11</v>
      </c>
      <c r="J14" s="5" t="s">
        <v>12</v>
      </c>
      <c r="K14" s="6" t="s">
        <v>9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1"/>
      <c r="B15" s="7" t="s">
        <v>13</v>
      </c>
      <c r="C15" s="163">
        <v>2021</v>
      </c>
      <c r="D15" s="163">
        <v>2021</v>
      </c>
      <c r="E15" s="163">
        <v>2021</v>
      </c>
      <c r="F15" s="163">
        <v>2021</v>
      </c>
      <c r="G15" s="163">
        <v>2022</v>
      </c>
      <c r="H15" s="163">
        <v>2022</v>
      </c>
      <c r="I15" s="163">
        <v>2022</v>
      </c>
      <c r="J15" s="163">
        <v>2022</v>
      </c>
      <c r="K15" s="164">
        <v>2023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1"/>
      <c r="B16" s="8" t="s">
        <v>14</v>
      </c>
      <c r="C16" s="9">
        <f>'Income Statement'!F9</f>
        <v>501429.74000000005</v>
      </c>
      <c r="D16" s="9">
        <f>'Income Statement'!G9</f>
        <v>513924.39000000007</v>
      </c>
      <c r="E16" s="9">
        <f>'Income Statement'!H9</f>
        <v>523842.69000000006</v>
      </c>
      <c r="F16" s="9">
        <f>'Income Statement'!I9</f>
        <v>539652.26</v>
      </c>
      <c r="G16" s="9">
        <f>'Income Statement'!K9</f>
        <v>550743.69000000006</v>
      </c>
      <c r="H16" s="9">
        <f>'Income Statement'!L9</f>
        <v>557909.87</v>
      </c>
      <c r="I16" s="9">
        <f>'Income Statement'!M9</f>
        <v>554791.2300000001</v>
      </c>
      <c r="J16" s="9">
        <f>'Income Statement'!N9</f>
        <v>549643.71000000008</v>
      </c>
      <c r="K16" s="10">
        <f>'Income Statement'!P9</f>
        <v>571305.21000000008</v>
      </c>
      <c r="L16" s="1"/>
      <c r="M16" s="11">
        <f>'Income Statement'!Q9</f>
        <v>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12"/>
      <c r="B17" s="13" t="s">
        <v>15</v>
      </c>
      <c r="C17" s="12"/>
      <c r="D17" s="14">
        <f t="shared" ref="D17:K17" si="0">(D16/C16)-1</f>
        <v>2.4918047341986549E-2</v>
      </c>
      <c r="E17" s="14">
        <f t="shared" si="0"/>
        <v>1.9299142428324867E-2</v>
      </c>
      <c r="F17" s="14">
        <f t="shared" si="0"/>
        <v>3.0179995448633479E-2</v>
      </c>
      <c r="G17" s="14">
        <f t="shared" si="0"/>
        <v>2.0552920504770977E-2</v>
      </c>
      <c r="H17" s="14">
        <f t="shared" si="0"/>
        <v>1.3011824066472721E-2</v>
      </c>
      <c r="I17" s="14">
        <f t="shared" si="0"/>
        <v>-5.5898634666561309E-3</v>
      </c>
      <c r="J17" s="14">
        <f t="shared" si="0"/>
        <v>-9.2783009565599039E-3</v>
      </c>
      <c r="K17" s="15">
        <f t="shared" si="0"/>
        <v>3.9410075301325564E-2</v>
      </c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15.75" customHeight="1" x14ac:dyDescent="0.2">
      <c r="A18" s="12"/>
      <c r="B18" s="13"/>
      <c r="C18" s="12"/>
      <c r="D18" s="14"/>
      <c r="E18" s="14"/>
      <c r="F18" s="14"/>
      <c r="G18" s="14"/>
      <c r="H18" s="14"/>
      <c r="I18" s="14"/>
      <c r="J18" s="14"/>
      <c r="K18" s="15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15.75" customHeight="1" x14ac:dyDescent="0.2">
      <c r="A19" s="1"/>
      <c r="B19" s="8" t="s">
        <v>16</v>
      </c>
      <c r="C19" s="9">
        <f>'Income Statement'!F14</f>
        <v>137189.91999999998</v>
      </c>
      <c r="D19" s="9">
        <f>'Income Statement'!G14</f>
        <v>129334.10000000003</v>
      </c>
      <c r="E19" s="9">
        <f>'Income Statement'!H14</f>
        <v>122867.71000000002</v>
      </c>
      <c r="F19" s="9">
        <f>'Income Statement'!I14</f>
        <v>44223.899999999965</v>
      </c>
      <c r="G19" s="9">
        <f>'Income Statement'!K14</f>
        <v>138013.82</v>
      </c>
      <c r="H19" s="9">
        <f>'Income Statement'!L14</f>
        <v>110479.81</v>
      </c>
      <c r="I19" s="9">
        <f>'Income Statement'!M14</f>
        <v>107311.26000000001</v>
      </c>
      <c r="J19" s="9">
        <f>'Income Statement'!N14</f>
        <v>38493.280000000028</v>
      </c>
      <c r="K19" s="10">
        <f>'Income Statement'!P14</f>
        <v>120002.19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12"/>
      <c r="B20" s="13" t="s">
        <v>15</v>
      </c>
      <c r="C20" s="12"/>
      <c r="D20" s="14">
        <f t="shared" ref="D20:K20" si="1">(D19/C19)-1</f>
        <v>-5.7262370296592868E-2</v>
      </c>
      <c r="E20" s="14">
        <f t="shared" si="1"/>
        <v>-4.9997564447427312E-2</v>
      </c>
      <c r="F20" s="14">
        <f t="shared" si="1"/>
        <v>-0.64006898150864888</v>
      </c>
      <c r="G20" s="14">
        <f t="shared" si="1"/>
        <v>2.1207971255361944</v>
      </c>
      <c r="H20" s="14">
        <f t="shared" si="1"/>
        <v>-0.19950183249764408</v>
      </c>
      <c r="I20" s="14">
        <f t="shared" si="1"/>
        <v>-2.8679900879626685E-2</v>
      </c>
      <c r="J20" s="14">
        <f t="shared" si="1"/>
        <v>-0.64129318768598909</v>
      </c>
      <c r="K20" s="15">
        <f t="shared" si="1"/>
        <v>2.1174841426867212</v>
      </c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15.75" customHeight="1" x14ac:dyDescent="0.2">
      <c r="A21" s="12"/>
      <c r="B21" s="13"/>
      <c r="C21" s="12"/>
      <c r="D21" s="14"/>
      <c r="E21" s="14"/>
      <c r="F21" s="14"/>
      <c r="G21" s="14"/>
      <c r="H21" s="14"/>
      <c r="I21" s="14"/>
      <c r="J21" s="14"/>
      <c r="K21" s="15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15.75" customHeight="1" x14ac:dyDescent="0.2">
      <c r="A22" s="1"/>
      <c r="B22" s="8" t="s">
        <v>17</v>
      </c>
      <c r="C22" s="9">
        <f>'Income Statement'!F20</f>
        <v>119470.04999999999</v>
      </c>
      <c r="D22" s="9">
        <f>'Income Statement'!G20</f>
        <v>94710.910000000018</v>
      </c>
      <c r="E22" s="9">
        <f>'Income Statement'!H20</f>
        <v>101434.97000000002</v>
      </c>
      <c r="F22" s="9">
        <f>'Income Statement'!I20</f>
        <v>42520.02999999997</v>
      </c>
      <c r="G22" s="9">
        <f>'Income Statement'!K20</f>
        <v>111821.29000000001</v>
      </c>
      <c r="H22" s="9">
        <f>'Income Statement'!L20</f>
        <v>100866.56999999999</v>
      </c>
      <c r="I22" s="9">
        <f>'Income Statement'!M20</f>
        <v>97876.94</v>
      </c>
      <c r="J22" s="9">
        <f>'Income Statement'!N20</f>
        <v>3869.880000000026</v>
      </c>
      <c r="K22" s="10">
        <f>'Income Statement'!P20</f>
        <v>102018.78540000001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2"/>
      <c r="B23" s="13" t="s">
        <v>15</v>
      </c>
      <c r="C23" s="12"/>
      <c r="D23" s="14">
        <f t="shared" ref="D23:K23" si="2">(D22/C22)-1</f>
        <v>-0.2072413964838884</v>
      </c>
      <c r="E23" s="14">
        <f t="shared" si="2"/>
        <v>7.099562236283008E-2</v>
      </c>
      <c r="F23" s="14">
        <f t="shared" si="2"/>
        <v>-0.5808148807063287</v>
      </c>
      <c r="G23" s="14">
        <f t="shared" si="2"/>
        <v>1.6298497437560626</v>
      </c>
      <c r="H23" s="14">
        <f t="shared" si="2"/>
        <v>-9.796631750536966E-2</v>
      </c>
      <c r="I23" s="14">
        <f t="shared" si="2"/>
        <v>-2.9639453388768833E-2</v>
      </c>
      <c r="J23" s="14">
        <f t="shared" si="2"/>
        <v>-0.96046177986357129</v>
      </c>
      <c r="K23" s="15">
        <f t="shared" si="2"/>
        <v>25.362260690253787</v>
      </c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15.75" customHeight="1" x14ac:dyDescent="0.2">
      <c r="A24" s="1"/>
      <c r="B24" s="8" t="s">
        <v>18</v>
      </c>
      <c r="C24" s="16">
        <f>'Income Statement'!F22</f>
        <v>3.850682724762196</v>
      </c>
      <c r="D24" s="16">
        <f>'Income Statement'!G22</f>
        <v>3.053109606258702</v>
      </c>
      <c r="E24" s="16">
        <f>'Income Statement'!H22</f>
        <v>3.2726806661577585</v>
      </c>
      <c r="F24" s="16">
        <f>'Income Statement'!I22</f>
        <v>1.3697430670497122</v>
      </c>
      <c r="G24" s="16">
        <f>'Income Statement'!K22</f>
        <v>3.5966709145190996</v>
      </c>
      <c r="H24" s="16">
        <f>'Income Statement'!L22</f>
        <v>3.241318885992122</v>
      </c>
      <c r="I24" s="16">
        <f>'Income Statement'!M22</f>
        <v>3.1429785244493993</v>
      </c>
      <c r="J24" s="16">
        <f>'Income Statement'!N22</f>
        <v>0.12417789757412481</v>
      </c>
      <c r="K24" s="17">
        <f>'Income Statement'!P22</f>
        <v>3.2732866024022784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/>
      <c r="B25" s="13"/>
      <c r="C25" s="1"/>
      <c r="D25" s="1"/>
      <c r="E25" s="1"/>
      <c r="F25" s="1"/>
      <c r="G25" s="1"/>
      <c r="H25" s="1"/>
      <c r="I25" s="1"/>
      <c r="J25" s="1"/>
      <c r="K25" s="18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/>
      <c r="B26" s="159" t="s">
        <v>174</v>
      </c>
      <c r="C26" s="160">
        <f>'Cash Flows'!H51</f>
        <v>48415.499999999993</v>
      </c>
      <c r="D26" s="160">
        <f>'Cash Flows'!I51</f>
        <v>-12252.72999999997</v>
      </c>
      <c r="E26" s="160">
        <f>'Cash Flows'!J51</f>
        <v>-7437.6399999999903</v>
      </c>
      <c r="F26" s="160">
        <f>'Cash Flows'!K51</f>
        <v>-39847.709999999977</v>
      </c>
      <c r="G26" s="160">
        <f>'Cash Flows'!M51</f>
        <v>56117.670000000027</v>
      </c>
      <c r="H26" s="160">
        <f>'Cash Flows'!N51</f>
        <v>891.23999999999069</v>
      </c>
      <c r="I26" s="160">
        <f>'Cash Flows'!O51</f>
        <v>33029.5</v>
      </c>
      <c r="J26" s="160">
        <f>'Cash Flows'!P51</f>
        <v>23258.550000000025</v>
      </c>
      <c r="K26" s="161">
        <f>'Cash Flows'!R51</f>
        <v>56812.070000000007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/>
      <c r="B27" s="19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/>
      <c r="B28" s="20" t="s">
        <v>19</v>
      </c>
      <c r="C28" s="21" t="s">
        <v>20</v>
      </c>
      <c r="D28" s="21" t="s">
        <v>21</v>
      </c>
      <c r="E28" s="21" t="s">
        <v>22</v>
      </c>
      <c r="F28" s="21" t="s">
        <v>23</v>
      </c>
      <c r="G28" s="21" t="s">
        <v>24</v>
      </c>
      <c r="H28" s="21" t="s">
        <v>25</v>
      </c>
      <c r="I28" s="21" t="s">
        <v>26</v>
      </c>
      <c r="J28" s="21" t="s">
        <v>27</v>
      </c>
      <c r="K28" s="22" t="s">
        <v>28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/>
      <c r="B29" s="23" t="s">
        <v>29</v>
      </c>
      <c r="C29" s="24">
        <f t="shared" ref="C29:K29" si="3">C19/C16</f>
        <v>0.27359749343945966</v>
      </c>
      <c r="D29" s="24">
        <f t="shared" si="3"/>
        <v>0.25165978209362666</v>
      </c>
      <c r="E29" s="24">
        <f t="shared" si="3"/>
        <v>0.23455077706629829</v>
      </c>
      <c r="F29" s="24">
        <f t="shared" si="3"/>
        <v>8.1948883156720151E-2</v>
      </c>
      <c r="G29" s="24">
        <f t="shared" si="3"/>
        <v>0.25059537223204498</v>
      </c>
      <c r="H29" s="24">
        <f t="shared" si="3"/>
        <v>0.19802447660587183</v>
      </c>
      <c r="I29" s="24">
        <f t="shared" si="3"/>
        <v>0.19342638130743342</v>
      </c>
      <c r="J29" s="24">
        <f t="shared" si="3"/>
        <v>7.0033149292293401E-2</v>
      </c>
      <c r="K29" s="25">
        <f t="shared" si="3"/>
        <v>0.21004917844176493</v>
      </c>
      <c r="L29" s="1"/>
      <c r="M29" s="26" t="s">
        <v>30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/>
      <c r="B30" s="23" t="s">
        <v>31</v>
      </c>
      <c r="C30" s="24">
        <f t="shared" ref="C30:K30" si="4">C22/C16</f>
        <v>0.23825880371595026</v>
      </c>
      <c r="D30" s="24">
        <f t="shared" si="4"/>
        <v>0.18428958002946699</v>
      </c>
      <c r="E30" s="24">
        <f t="shared" si="4"/>
        <v>0.19363631856731647</v>
      </c>
      <c r="F30" s="24">
        <f t="shared" si="4"/>
        <v>7.8791535126712831E-2</v>
      </c>
      <c r="G30" s="24">
        <f t="shared" si="4"/>
        <v>0.20303689725432894</v>
      </c>
      <c r="H30" s="24">
        <f t="shared" si="4"/>
        <v>0.18079366475448802</v>
      </c>
      <c r="I30" s="24">
        <f t="shared" si="4"/>
        <v>0.17642120983058796</v>
      </c>
      <c r="J30" s="24">
        <f t="shared" si="4"/>
        <v>7.0407064241670763E-3</v>
      </c>
      <c r="K30" s="25">
        <f t="shared" si="4"/>
        <v>0.17857142489563502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/>
      <c r="B31" s="27" t="s">
        <v>32</v>
      </c>
      <c r="C31" s="28">
        <f>C26/'Income Statement'!F26</f>
        <v>1.5179713853669881</v>
      </c>
      <c r="D31" s="28">
        <f>D26/'Income Statement'!G26</f>
        <v>-0.38459206071245639</v>
      </c>
      <c r="E31" s="28">
        <f>E26/'Income Statement'!H26</f>
        <v>-0.23355937791943693</v>
      </c>
      <c r="F31" s="28">
        <f>F26/'Income Statement'!I26</f>
        <v>-1.2489233098213004</v>
      </c>
      <c r="G31" s="28">
        <f>G26/'Income Statement'!K26</f>
        <v>1.7697777404941462</v>
      </c>
      <c r="H31" s="28">
        <f>H26/'Income Statement'!L26</f>
        <v>2.828271160386403E-2</v>
      </c>
      <c r="I31" s="28">
        <f>I26/'Income Statement'!M26</f>
        <v>1.0477546053683406</v>
      </c>
      <c r="J31" s="28">
        <f>J26/'Income Statement'!N26</f>
        <v>0.73567084173772179</v>
      </c>
      <c r="K31" s="29">
        <f>K26/'Income Statement'!P26</f>
        <v>1.7939224211291795</v>
      </c>
      <c r="L31" s="1"/>
      <c r="M31" s="26" t="s">
        <v>33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</sheetPr>
  <dimension ref="A2:Z1000"/>
  <sheetViews>
    <sheetView showGridLines="0" topLeftCell="A2" zoomScale="150" zoomScaleNormal="90" workbookViewId="0">
      <selection activeCell="E19" sqref="E19"/>
    </sheetView>
  </sheetViews>
  <sheetFormatPr baseColWidth="10" defaultColWidth="14.5" defaultRowHeight="15" customHeight="1" x14ac:dyDescent="0.2"/>
  <cols>
    <col min="1" max="1" width="8.6640625" customWidth="1"/>
    <col min="2" max="2" width="39.5" customWidth="1"/>
    <col min="3" max="11" width="10.33203125" customWidth="1"/>
    <col min="12" max="12" width="8.6640625" customWidth="1"/>
    <col min="13" max="13" width="117" customWidth="1"/>
    <col min="14" max="26" width="8.6640625" customWidth="1"/>
  </cols>
  <sheetData>
    <row r="2" spans="2:11" ht="16" x14ac:dyDescent="0.2">
      <c r="B2" s="2" t="s">
        <v>34</v>
      </c>
    </row>
    <row r="3" spans="2:11" ht="16" x14ac:dyDescent="0.2">
      <c r="B3" s="2" t="s">
        <v>1</v>
      </c>
    </row>
    <row r="4" spans="2:11" ht="16" x14ac:dyDescent="0.2">
      <c r="B4" s="2" t="s">
        <v>35</v>
      </c>
    </row>
    <row r="5" spans="2:11" ht="16" x14ac:dyDescent="0.2">
      <c r="B5" s="2"/>
    </row>
    <row r="6" spans="2:11" ht="16" x14ac:dyDescent="0.2">
      <c r="B6" s="3" t="s">
        <v>3</v>
      </c>
    </row>
    <row r="7" spans="2:11" ht="16" x14ac:dyDescent="0.2">
      <c r="B7" s="1" t="s">
        <v>36</v>
      </c>
    </row>
    <row r="8" spans="2:11" ht="16" x14ac:dyDescent="0.2">
      <c r="B8" s="1" t="s">
        <v>37</v>
      </c>
    </row>
    <row r="9" spans="2:11" ht="16" x14ac:dyDescent="0.2">
      <c r="B9" s="1" t="s">
        <v>38</v>
      </c>
    </row>
    <row r="10" spans="2:11" ht="16" x14ac:dyDescent="0.2">
      <c r="B10" s="2"/>
    </row>
    <row r="11" spans="2:11" ht="16" x14ac:dyDescent="0.2">
      <c r="B11" s="2"/>
    </row>
    <row r="12" spans="2:11" ht="16" x14ac:dyDescent="0.2">
      <c r="B12" s="30" t="s">
        <v>35</v>
      </c>
      <c r="C12" s="31" t="s">
        <v>9</v>
      </c>
      <c r="D12" s="31" t="s">
        <v>10</v>
      </c>
      <c r="E12" s="31" t="s">
        <v>11</v>
      </c>
      <c r="F12" s="31" t="s">
        <v>12</v>
      </c>
      <c r="G12" s="31" t="s">
        <v>9</v>
      </c>
      <c r="H12" s="31" t="s">
        <v>10</v>
      </c>
      <c r="I12" s="31" t="s">
        <v>11</v>
      </c>
      <c r="J12" s="31" t="s">
        <v>12</v>
      </c>
      <c r="K12" s="32" t="s">
        <v>9</v>
      </c>
    </row>
    <row r="13" spans="2:11" ht="16" x14ac:dyDescent="0.2">
      <c r="B13" s="33" t="s">
        <v>39</v>
      </c>
      <c r="C13" s="165">
        <v>2021</v>
      </c>
      <c r="D13" s="165">
        <v>2021</v>
      </c>
      <c r="E13" s="165">
        <v>2021</v>
      </c>
      <c r="F13" s="165">
        <v>2021</v>
      </c>
      <c r="G13" s="165">
        <v>2022</v>
      </c>
      <c r="H13" s="165">
        <v>2022</v>
      </c>
      <c r="I13" s="165">
        <v>2022</v>
      </c>
      <c r="J13" s="165">
        <v>2022</v>
      </c>
      <c r="K13" s="166">
        <v>2023</v>
      </c>
    </row>
    <row r="14" spans="2:11" x14ac:dyDescent="0.2">
      <c r="B14" s="34"/>
      <c r="K14" s="35"/>
    </row>
    <row r="15" spans="2:11" x14ac:dyDescent="0.2">
      <c r="B15" s="34" t="s">
        <v>40</v>
      </c>
      <c r="C15" s="36">
        <f>'Customer Data'!C7</f>
        <v>33</v>
      </c>
      <c r="D15" s="36">
        <f>'Customer Data'!D7</f>
        <v>33</v>
      </c>
      <c r="E15" s="36">
        <f>'Customer Data'!E7</f>
        <v>33</v>
      </c>
      <c r="F15" s="36">
        <f>'Customer Data'!F7</f>
        <v>33</v>
      </c>
      <c r="G15" s="36">
        <f>'Customer Data'!G7</f>
        <v>34</v>
      </c>
      <c r="H15" s="36">
        <f>'Customer Data'!H7</f>
        <v>34</v>
      </c>
      <c r="I15" s="36">
        <f>'Customer Data'!I7</f>
        <v>34</v>
      </c>
      <c r="J15" s="36">
        <f>'Customer Data'!J7</f>
        <v>34</v>
      </c>
      <c r="K15" s="37">
        <f>'Customer Data'!K7</f>
        <v>34</v>
      </c>
    </row>
    <row r="16" spans="2:11" x14ac:dyDescent="0.2">
      <c r="B16" s="34"/>
      <c r="C16" s="36"/>
      <c r="D16" s="36"/>
      <c r="E16" s="36"/>
      <c r="F16" s="36"/>
      <c r="G16" s="36"/>
      <c r="H16" s="36"/>
      <c r="I16" s="36"/>
      <c r="J16" s="36"/>
      <c r="K16" s="37"/>
    </row>
    <row r="17" spans="1:26" x14ac:dyDescent="0.2">
      <c r="B17" s="34" t="s">
        <v>41</v>
      </c>
      <c r="C17" s="38">
        <f>'Customer Data'!C9</f>
        <v>15194.840606060607</v>
      </c>
      <c r="D17" s="38">
        <f>'Customer Data'!D9</f>
        <v>15573.466363636366</v>
      </c>
      <c r="E17" s="38">
        <f>'Customer Data'!E9</f>
        <v>15874.02090909091</v>
      </c>
      <c r="F17" s="38">
        <f>'Customer Data'!F9</f>
        <v>16353.098787878787</v>
      </c>
      <c r="G17" s="38">
        <f>'Customer Data'!G9</f>
        <v>16198.343823529414</v>
      </c>
      <c r="H17" s="38">
        <f>'Customer Data'!H9</f>
        <v>16409.113823529413</v>
      </c>
      <c r="I17" s="38">
        <f>'Customer Data'!I9</f>
        <v>16317.389117647062</v>
      </c>
      <c r="J17" s="38">
        <f>'Customer Data'!J9</f>
        <v>16165.991470588238</v>
      </c>
      <c r="K17" s="39">
        <f>'Customer Data'!K9</f>
        <v>16803.094411764709</v>
      </c>
    </row>
    <row r="18" spans="1:26" x14ac:dyDescent="0.2">
      <c r="B18" s="34" t="s">
        <v>42</v>
      </c>
      <c r="C18" s="38">
        <f>'Customer Data'!C11</f>
        <v>89</v>
      </c>
      <c r="D18" s="38">
        <f>'Customer Data'!D11</f>
        <v>200</v>
      </c>
      <c r="E18" s="38">
        <f>'Customer Data'!E11</f>
        <v>204</v>
      </c>
      <c r="F18" s="38">
        <f>'Customer Data'!F11</f>
        <v>444</v>
      </c>
      <c r="G18" s="38">
        <f>'Customer Data'!G11</f>
        <v>2446</v>
      </c>
      <c r="H18" s="38">
        <f>'Customer Data'!H11</f>
        <v>5000</v>
      </c>
      <c r="I18" s="38">
        <f>'Customer Data'!I11</f>
        <v>1655</v>
      </c>
      <c r="J18" s="38">
        <f>'Customer Data'!J11</f>
        <v>1244</v>
      </c>
      <c r="K18" s="39">
        <f>'Customer Data'!K11</f>
        <v>322</v>
      </c>
      <c r="M18" s="40" t="s">
        <v>43</v>
      </c>
    </row>
    <row r="19" spans="1:26" x14ac:dyDescent="0.2">
      <c r="B19" s="34" t="s">
        <v>44</v>
      </c>
      <c r="C19" s="38">
        <f>'Customer Data'!C10</f>
        <v>467.62575757575905</v>
      </c>
      <c r="D19" s="38">
        <f>'Customer Data'!D10</f>
        <v>500.5545454545445</v>
      </c>
      <c r="E19" s="38">
        <f>'Customer Data'!E10</f>
        <v>683.07787878787713</v>
      </c>
      <c r="F19" s="38">
        <f>'Customer Data'!F10</f>
        <v>289.24503565062696</v>
      </c>
      <c r="G19" s="38">
        <f>'Customer Data'!G10</f>
        <v>2656.7699999999986</v>
      </c>
      <c r="H19" s="38">
        <f>'Customer Data'!H10</f>
        <v>4908.2752941176495</v>
      </c>
      <c r="I19" s="38">
        <f>'Customer Data'!I10</f>
        <v>1503.6023529411759</v>
      </c>
      <c r="J19" s="38">
        <f>'Customer Data'!J10</f>
        <v>1881.1029411764703</v>
      </c>
      <c r="K19" s="39">
        <f>'Customer Data'!K10</f>
        <v>1964.9055882352914</v>
      </c>
    </row>
    <row r="20" spans="1:26" x14ac:dyDescent="0.2">
      <c r="B20" s="34" t="s">
        <v>45</v>
      </c>
      <c r="C20" s="38">
        <f>'Customer Data'!C12</f>
        <v>15573.466363636366</v>
      </c>
      <c r="D20" s="38">
        <f>'Customer Data'!D12</f>
        <v>15874.02090909091</v>
      </c>
      <c r="E20" s="38">
        <f>'Customer Data'!E12</f>
        <v>16353.098787878787</v>
      </c>
      <c r="F20" s="38">
        <f>'Customer Data'!F12</f>
        <v>16198.343823529414</v>
      </c>
      <c r="G20" s="38">
        <f>'Customer Data'!G12</f>
        <v>16409.113823529413</v>
      </c>
      <c r="H20" s="38">
        <f>'Customer Data'!H12</f>
        <v>16317.389117647062</v>
      </c>
      <c r="I20" s="38">
        <f>'Customer Data'!I12</f>
        <v>16165.991470588238</v>
      </c>
      <c r="J20" s="38">
        <f>'Customer Data'!J12</f>
        <v>16803.094411764709</v>
      </c>
      <c r="K20" s="39">
        <f>'Customer Data'!K12</f>
        <v>18446</v>
      </c>
    </row>
    <row r="21" spans="1:26" ht="15.75" customHeight="1" x14ac:dyDescent="0.2">
      <c r="A21" s="41"/>
      <c r="B21" s="42" t="s">
        <v>46</v>
      </c>
      <c r="C21" s="43"/>
      <c r="D21" s="44">
        <f t="shared" ref="D21:K21" si="0">(D20/C20)-1</f>
        <v>1.9299142428324867E-2</v>
      </c>
      <c r="E21" s="44">
        <f t="shared" si="0"/>
        <v>3.0179995448633479E-2</v>
      </c>
      <c r="F21" s="44">
        <f t="shared" si="0"/>
        <v>-9.463341863016228E-3</v>
      </c>
      <c r="G21" s="44">
        <f t="shared" si="0"/>
        <v>1.3011824066472721E-2</v>
      </c>
      <c r="H21" s="44">
        <f t="shared" si="0"/>
        <v>-5.5898634666562419E-3</v>
      </c>
      <c r="I21" s="44">
        <f t="shared" si="0"/>
        <v>-9.2783009565599039E-3</v>
      </c>
      <c r="J21" s="44">
        <f t="shared" si="0"/>
        <v>3.9410075301325564E-2</v>
      </c>
      <c r="K21" s="45">
        <f t="shared" si="0"/>
        <v>9.7773990193437799E-2</v>
      </c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</row>
    <row r="22" spans="1:26" ht="15.75" customHeight="1" x14ac:dyDescent="0.2">
      <c r="A22" s="41"/>
      <c r="B22" s="42"/>
      <c r="C22" s="43"/>
      <c r="D22" s="44"/>
      <c r="E22" s="44"/>
      <c r="F22" s="44"/>
      <c r="G22" s="44"/>
      <c r="H22" s="44"/>
      <c r="I22" s="44"/>
      <c r="J22" s="44"/>
      <c r="K22" s="45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</row>
    <row r="23" spans="1:26" ht="15.75" customHeight="1" x14ac:dyDescent="0.2">
      <c r="B23" s="34" t="s">
        <v>47</v>
      </c>
      <c r="C23" s="38">
        <f t="shared" ref="C23:K23" si="1">C19-C18</f>
        <v>378.62575757575905</v>
      </c>
      <c r="D23" s="38">
        <f t="shared" si="1"/>
        <v>300.5545454545445</v>
      </c>
      <c r="E23" s="38">
        <f t="shared" si="1"/>
        <v>479.07787878787713</v>
      </c>
      <c r="F23" s="38">
        <f t="shared" si="1"/>
        <v>-154.75496434937304</v>
      </c>
      <c r="G23" s="38">
        <f t="shared" si="1"/>
        <v>210.76999999999862</v>
      </c>
      <c r="H23" s="38">
        <f t="shared" si="1"/>
        <v>-91.724705882350463</v>
      </c>
      <c r="I23" s="38">
        <f t="shared" si="1"/>
        <v>-151.39764705882408</v>
      </c>
      <c r="J23" s="38">
        <f t="shared" si="1"/>
        <v>637.10294117647027</v>
      </c>
      <c r="K23" s="39">
        <f t="shared" si="1"/>
        <v>1642.9055882352914</v>
      </c>
      <c r="M23" s="40" t="s">
        <v>48</v>
      </c>
    </row>
    <row r="24" spans="1:26" ht="15.75" customHeight="1" x14ac:dyDescent="0.2">
      <c r="B24" s="46" t="s">
        <v>49</v>
      </c>
      <c r="C24" s="47">
        <f t="shared" ref="C24:K24" si="2">C18/C17</f>
        <v>5.857251307032566E-3</v>
      </c>
      <c r="D24" s="47">
        <f t="shared" si="2"/>
        <v>1.2842356051636311E-2</v>
      </c>
      <c r="E24" s="47">
        <f t="shared" si="2"/>
        <v>1.2851186297932304E-2</v>
      </c>
      <c r="F24" s="47">
        <f t="shared" si="2"/>
        <v>2.7150817454188E-2</v>
      </c>
      <c r="G24" s="47">
        <f t="shared" si="2"/>
        <v>0.15100309183751154</v>
      </c>
      <c r="H24" s="47">
        <f t="shared" si="2"/>
        <v>0.30470871576442982</v>
      </c>
      <c r="I24" s="47">
        <f t="shared" si="2"/>
        <v>0.1014255398377512</v>
      </c>
      <c r="J24" s="47">
        <f t="shared" si="2"/>
        <v>7.6951667472006532E-2</v>
      </c>
      <c r="K24" s="48">
        <f t="shared" si="2"/>
        <v>1.916313698592036E-2</v>
      </c>
      <c r="M24" s="40" t="s">
        <v>50</v>
      </c>
    </row>
    <row r="25" spans="1:26" ht="15.75" customHeight="1" x14ac:dyDescent="0.2"/>
    <row r="26" spans="1:26" ht="15.75" customHeight="1" x14ac:dyDescent="0.2"/>
    <row r="27" spans="1:26" ht="15.75" customHeight="1" x14ac:dyDescent="0.2"/>
    <row r="28" spans="1:26" ht="15.75" customHeight="1" x14ac:dyDescent="0.2"/>
    <row r="29" spans="1:26" ht="15.75" customHeight="1" x14ac:dyDescent="0.2"/>
    <row r="30" spans="1:26" ht="15.75" customHeight="1" x14ac:dyDescent="0.2"/>
    <row r="31" spans="1:26" ht="15.75" customHeight="1" x14ac:dyDescent="0.2"/>
    <row r="32" spans="1:26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/>
  </sheetPr>
  <dimension ref="B3:L1001"/>
  <sheetViews>
    <sheetView showGridLines="0" topLeftCell="A11" zoomScale="117" workbookViewId="0">
      <selection activeCell="H23" sqref="H23"/>
    </sheetView>
  </sheetViews>
  <sheetFormatPr baseColWidth="10" defaultColWidth="14.5" defaultRowHeight="15" customHeight="1" x14ac:dyDescent="0.2"/>
  <cols>
    <col min="1" max="1" width="8.6640625" customWidth="1"/>
    <col min="2" max="2" width="35.5" customWidth="1"/>
    <col min="3" max="3" width="15.1640625" customWidth="1"/>
    <col min="4" max="8" width="12.83203125" customWidth="1"/>
    <col min="9" max="9" width="8.6640625" customWidth="1"/>
    <col min="10" max="10" width="71.5" customWidth="1"/>
    <col min="11" max="11" width="4.6640625" customWidth="1"/>
    <col min="12" max="26" width="8.6640625" customWidth="1"/>
  </cols>
  <sheetData>
    <row r="3" spans="2:2" ht="16" x14ac:dyDescent="0.2">
      <c r="B3" s="2" t="s">
        <v>51</v>
      </c>
    </row>
    <row r="4" spans="2:2" ht="16" x14ac:dyDescent="0.2">
      <c r="B4" s="2" t="s">
        <v>1</v>
      </c>
    </row>
    <row r="5" spans="2:2" ht="16" x14ac:dyDescent="0.2">
      <c r="B5" s="2" t="s">
        <v>52</v>
      </c>
    </row>
    <row r="6" spans="2:2" ht="16" x14ac:dyDescent="0.2">
      <c r="B6" s="2"/>
    </row>
    <row r="7" spans="2:2" ht="16" x14ac:dyDescent="0.2">
      <c r="B7" s="3" t="s">
        <v>3</v>
      </c>
    </row>
    <row r="8" spans="2:2" ht="16" x14ac:dyDescent="0.2">
      <c r="B8" s="1" t="s">
        <v>53</v>
      </c>
    </row>
    <row r="9" spans="2:2" ht="16" x14ac:dyDescent="0.2">
      <c r="B9" s="1" t="s">
        <v>54</v>
      </c>
    </row>
    <row r="10" spans="2:2" ht="16" x14ac:dyDescent="0.2">
      <c r="B10" s="1" t="s">
        <v>55</v>
      </c>
    </row>
    <row r="11" spans="2:2" ht="16" x14ac:dyDescent="0.2">
      <c r="B11" s="19" t="s">
        <v>56</v>
      </c>
    </row>
    <row r="12" spans="2:2" ht="16" x14ac:dyDescent="0.2">
      <c r="B12" s="19" t="s">
        <v>57</v>
      </c>
    </row>
    <row r="13" spans="2:2" ht="16" x14ac:dyDescent="0.2">
      <c r="B13" s="19" t="s">
        <v>58</v>
      </c>
    </row>
    <row r="14" spans="2:2" ht="16" x14ac:dyDescent="0.2">
      <c r="B14" s="19" t="s">
        <v>59</v>
      </c>
    </row>
    <row r="15" spans="2:2" ht="16" x14ac:dyDescent="0.2">
      <c r="B15" s="19" t="s">
        <v>60</v>
      </c>
    </row>
    <row r="16" spans="2:2" ht="16" x14ac:dyDescent="0.2">
      <c r="B16" s="19" t="s">
        <v>61</v>
      </c>
    </row>
    <row r="17" spans="2:12" ht="16" x14ac:dyDescent="0.2">
      <c r="B17" s="1" t="s">
        <v>62</v>
      </c>
    </row>
    <row r="18" spans="2:12" ht="16" x14ac:dyDescent="0.2">
      <c r="B18" s="19"/>
    </row>
    <row r="19" spans="2:12" ht="16" x14ac:dyDescent="0.2">
      <c r="B19" s="19"/>
    </row>
    <row r="20" spans="2:12" ht="16" x14ac:dyDescent="0.2">
      <c r="B20" s="1"/>
    </row>
    <row r="21" spans="2:12" ht="16" x14ac:dyDescent="0.2">
      <c r="B21" s="1"/>
      <c r="C21" s="49" t="s">
        <v>63</v>
      </c>
      <c r="D21" s="49" t="s">
        <v>64</v>
      </c>
      <c r="E21" s="49" t="s">
        <v>64</v>
      </c>
      <c r="F21" s="50" t="s">
        <v>64</v>
      </c>
      <c r="G21" s="49" t="s">
        <v>64</v>
      </c>
      <c r="H21" s="51" t="s">
        <v>65</v>
      </c>
      <c r="I21" s="49"/>
      <c r="J21" s="49"/>
    </row>
    <row r="22" spans="2:12" ht="15.75" customHeight="1" x14ac:dyDescent="0.2">
      <c r="B22" s="52" t="s">
        <v>66</v>
      </c>
      <c r="C22" s="167">
        <v>2020</v>
      </c>
      <c r="D22" s="167">
        <v>2021</v>
      </c>
      <c r="E22" s="167">
        <v>2022</v>
      </c>
      <c r="F22" s="168" t="s">
        <v>67</v>
      </c>
      <c r="G22" s="167" t="s">
        <v>68</v>
      </c>
      <c r="H22" s="169" t="s">
        <v>69</v>
      </c>
      <c r="I22" s="53"/>
      <c r="J22" s="54" t="s">
        <v>70</v>
      </c>
      <c r="K22" s="40"/>
      <c r="L22" s="40"/>
    </row>
    <row r="23" spans="2:12" ht="15.75" customHeight="1" x14ac:dyDescent="0.2">
      <c r="B23" s="2" t="s">
        <v>14</v>
      </c>
      <c r="C23" s="11">
        <v>1999444</v>
      </c>
      <c r="D23" s="11">
        <v>2078849.0800000003</v>
      </c>
      <c r="E23" s="11">
        <f>'Income Statement'!O9</f>
        <v>2213088.5</v>
      </c>
      <c r="F23" s="55">
        <f>'Income Statement'!P9*4</f>
        <v>2285220.8400000003</v>
      </c>
      <c r="G23" s="11">
        <f>F23*(1+0.15)</f>
        <v>2628003.966</v>
      </c>
      <c r="H23" s="56">
        <f>(G23/C23)^(1/4)-1</f>
        <v>7.0728081380118102E-2</v>
      </c>
      <c r="J23" s="57" t="s">
        <v>71</v>
      </c>
    </row>
    <row r="24" spans="2:12" ht="15.75" customHeight="1" x14ac:dyDescent="0.2">
      <c r="B24" s="58" t="s">
        <v>72</v>
      </c>
      <c r="D24" s="24">
        <f t="shared" ref="D24:G24" si="0">(D23/C23)-1</f>
        <v>3.9713580375344559E-2</v>
      </c>
      <c r="E24" s="24">
        <f t="shared" si="0"/>
        <v>6.45739131769969E-2</v>
      </c>
      <c r="F24" s="59">
        <f t="shared" si="0"/>
        <v>3.2593518063105176E-2</v>
      </c>
      <c r="G24" s="24">
        <f t="shared" si="0"/>
        <v>0.14999999999999991</v>
      </c>
      <c r="H24" s="60"/>
    </row>
    <row r="25" spans="2:12" ht="15.75" customHeight="1" x14ac:dyDescent="0.2">
      <c r="B25" s="2" t="s">
        <v>16</v>
      </c>
      <c r="C25" s="11">
        <v>371461.44</v>
      </c>
      <c r="D25" s="11">
        <v>433615.63</v>
      </c>
      <c r="E25" s="11">
        <f>'Income Statement'!O14</f>
        <v>394298.16999999946</v>
      </c>
      <c r="F25" s="55">
        <f>'Income Statement'!P14*4</f>
        <v>480008.76</v>
      </c>
      <c r="G25" s="11">
        <f>F25*(1+0.1)</f>
        <v>528009.63600000006</v>
      </c>
      <c r="H25" s="56">
        <f>(G25/C25)^(1/4)-1</f>
        <v>9.189789210040189E-2</v>
      </c>
    </row>
    <row r="26" spans="2:12" ht="15.75" customHeight="1" x14ac:dyDescent="0.2">
      <c r="B26" s="58" t="s">
        <v>72</v>
      </c>
      <c r="D26" s="24">
        <f t="shared" ref="D26:G26" si="1">(D25/C25)-1</f>
        <v>0.16732339701262133</v>
      </c>
      <c r="E26" s="24">
        <f t="shared" si="1"/>
        <v>-9.0673530379890899E-2</v>
      </c>
      <c r="F26" s="59">
        <f t="shared" si="1"/>
        <v>0.21737506415513086</v>
      </c>
      <c r="G26" s="24">
        <f t="shared" si="1"/>
        <v>0.10000000000000009</v>
      </c>
      <c r="H26" s="60"/>
    </row>
    <row r="27" spans="2:12" ht="15.75" customHeight="1" x14ac:dyDescent="0.2">
      <c r="B27" s="2" t="s">
        <v>17</v>
      </c>
      <c r="C27" s="11">
        <v>247640.95999999999</v>
      </c>
      <c r="D27" s="11">
        <v>358135.96</v>
      </c>
      <c r="E27" s="11">
        <f>'Income Statement'!O20</f>
        <v>314434.67999999947</v>
      </c>
      <c r="F27" s="55">
        <f>'Income Statement'!P20*4</f>
        <v>408075.14160000003</v>
      </c>
      <c r="G27" s="11">
        <f>F27*(1+0.08)</f>
        <v>440721.15292800008</v>
      </c>
      <c r="H27" s="56">
        <f>(G27/C27)^(1/4)-1</f>
        <v>0.15500896226812899</v>
      </c>
    </row>
    <row r="28" spans="2:12" ht="15.75" customHeight="1" x14ac:dyDescent="0.2">
      <c r="B28" s="58" t="s">
        <v>72</v>
      </c>
      <c r="D28" s="24">
        <f t="shared" ref="D28:G28" si="2">(D27/C27)-1</f>
        <v>0.44619032328093078</v>
      </c>
      <c r="E28" s="24">
        <f t="shared" si="2"/>
        <v>-0.12202427256955861</v>
      </c>
      <c r="F28" s="59">
        <f t="shared" si="2"/>
        <v>0.29780576875299092</v>
      </c>
      <c r="G28" s="24">
        <f t="shared" si="2"/>
        <v>8.0000000000000071E-2</v>
      </c>
      <c r="H28" s="60"/>
    </row>
    <row r="29" spans="2:12" ht="15.75" customHeight="1" x14ac:dyDescent="0.2">
      <c r="B29" s="2" t="s">
        <v>18</v>
      </c>
      <c r="C29" s="61">
        <v>12.11</v>
      </c>
      <c r="D29" s="61">
        <v>11.546216064228368</v>
      </c>
      <c r="E29" s="61">
        <f>'Income Statement'!O22</f>
        <v>10.105146222534746</v>
      </c>
      <c r="F29" s="62">
        <f>'Income Statement'!P22*4</f>
        <v>13.093146409609114</v>
      </c>
      <c r="G29" s="61">
        <f>G27/'Income Statement'!P25</f>
        <v>14.140598122377844</v>
      </c>
      <c r="H29" s="56">
        <f t="shared" ref="H29:H30" si="3">(G29/C29)^(1/4)-1</f>
        <v>3.9515355807991925E-2</v>
      </c>
    </row>
    <row r="30" spans="2:12" ht="15.75" customHeight="1" x14ac:dyDescent="0.2">
      <c r="B30" s="162" t="s">
        <v>174</v>
      </c>
      <c r="C30" s="11">
        <v>755</v>
      </c>
      <c r="D30" s="11">
        <f>'Cash Flows'!L51</f>
        <v>-11122.580000000014</v>
      </c>
      <c r="E30" s="11">
        <f>'Cash Flows'!Q51</f>
        <v>113296.96000000022</v>
      </c>
      <c r="F30" s="55">
        <f>'Cash Flows'!R51*4</f>
        <v>227248.28000000003</v>
      </c>
      <c r="G30" s="11">
        <f>F30*(0.98)</f>
        <v>222703.31440000003</v>
      </c>
      <c r="H30" s="56">
        <f t="shared" si="3"/>
        <v>3.1442403246342074</v>
      </c>
    </row>
    <row r="31" spans="2:12" ht="15.75" customHeight="1" x14ac:dyDescent="0.2">
      <c r="B31" s="19"/>
      <c r="D31" s="1"/>
      <c r="F31" s="34"/>
    </row>
    <row r="32" spans="2:12" ht="15.75" customHeight="1" x14ac:dyDescent="0.2">
      <c r="B32" s="20" t="s">
        <v>19</v>
      </c>
      <c r="C32" s="63"/>
      <c r="D32" s="64"/>
      <c r="E32" s="63"/>
      <c r="F32" s="65"/>
      <c r="G32" s="66"/>
    </row>
    <row r="33" spans="2:7" ht="15.75" customHeight="1" x14ac:dyDescent="0.2">
      <c r="B33" s="23" t="s">
        <v>29</v>
      </c>
      <c r="C33" s="67">
        <f t="shared" ref="C33:G33" si="4">C25/C23</f>
        <v>0.18578236749816449</v>
      </c>
      <c r="D33" s="67">
        <f t="shared" si="4"/>
        <v>0.20858446828665406</v>
      </c>
      <c r="E33" s="67">
        <f t="shared" si="4"/>
        <v>0.1781664718785532</v>
      </c>
      <c r="F33" s="68">
        <f t="shared" si="4"/>
        <v>0.21004917844176493</v>
      </c>
      <c r="G33" s="69">
        <f t="shared" si="4"/>
        <v>0.20091660546603607</v>
      </c>
    </row>
    <row r="34" spans="2:7" ht="15.75" customHeight="1" x14ac:dyDescent="0.2">
      <c r="B34" s="23" t="s">
        <v>31</v>
      </c>
      <c r="C34" s="67">
        <f t="shared" ref="C34:G34" si="5">C27/C23</f>
        <v>0.12385491166544299</v>
      </c>
      <c r="D34" s="67">
        <f t="shared" si="5"/>
        <v>0.17227607499049424</v>
      </c>
      <c r="E34" s="67">
        <f t="shared" si="5"/>
        <v>0.14207957792921497</v>
      </c>
      <c r="F34" s="68">
        <f t="shared" si="5"/>
        <v>0.17857142489563502</v>
      </c>
      <c r="G34" s="69">
        <f t="shared" si="5"/>
        <v>0.16770185990198772</v>
      </c>
    </row>
    <row r="35" spans="2:7" ht="15.75" customHeight="1" x14ac:dyDescent="0.2">
      <c r="B35" s="23" t="s">
        <v>73</v>
      </c>
      <c r="C35" s="70" t="s">
        <v>74</v>
      </c>
      <c r="D35" s="71">
        <v>2.3719510295327688</v>
      </c>
      <c r="E35" s="71">
        <f>'Balance Sheet'!N27/'Output 3'!E25</f>
        <v>2.5481105326966174</v>
      </c>
      <c r="F35" s="72">
        <f>'Balance Sheet'!O27/'Output 3'!F25</f>
        <v>2.0471658683895688</v>
      </c>
      <c r="G35" s="73">
        <f>'Balance Sheet'!O27/'Output 3'!G25</f>
        <v>1.8610598803541532</v>
      </c>
    </row>
    <row r="36" spans="2:7" ht="15.75" customHeight="1" x14ac:dyDescent="0.2">
      <c r="B36" s="27" t="s">
        <v>32</v>
      </c>
      <c r="C36" s="28">
        <f>C30/'Income Statement'!F26</f>
        <v>2.3671518335080216E-2</v>
      </c>
      <c r="D36" s="28">
        <f>D30/'Income Statement'!J26</f>
        <v>-0.34860847530139688</v>
      </c>
      <c r="E36" s="74">
        <f>E30/'Income Statement'!O26</f>
        <v>3.5835969967829064</v>
      </c>
      <c r="F36" s="75">
        <f>F30/'Income Statement'!P26</f>
        <v>7.1756896845167182</v>
      </c>
      <c r="G36" s="76">
        <f>G30/'Income Statement'!P26</f>
        <v>7.0321758908263838</v>
      </c>
    </row>
    <row r="37" spans="2:7" ht="15.75" customHeight="1" x14ac:dyDescent="0.2"/>
    <row r="38" spans="2:7" ht="15.75" customHeight="1" x14ac:dyDescent="0.2"/>
    <row r="39" spans="2:7" ht="15.75" customHeight="1" x14ac:dyDescent="0.2"/>
    <row r="40" spans="2:7" ht="15.75" customHeight="1" x14ac:dyDescent="0.2"/>
    <row r="41" spans="2:7" ht="15.75" customHeight="1" x14ac:dyDescent="0.2"/>
    <row r="42" spans="2:7" ht="15.75" customHeight="1" x14ac:dyDescent="0.2"/>
    <row r="43" spans="2:7" ht="15.75" customHeight="1" x14ac:dyDescent="0.2"/>
    <row r="44" spans="2:7" ht="15.75" customHeight="1" x14ac:dyDescent="0.2"/>
    <row r="45" spans="2:7" ht="15.75" customHeight="1" x14ac:dyDescent="0.2"/>
    <row r="46" spans="2:7" ht="15.75" customHeight="1" x14ac:dyDescent="0.2"/>
    <row r="47" spans="2:7" ht="15.75" customHeight="1" x14ac:dyDescent="0.2"/>
    <row r="48" spans="2:7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hyperlinks>
    <hyperlink ref="J23" r:id="rId1" xr:uid="{00000000-0004-0000-0200-000000000000}"/>
  </hyperlink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/>
  </sheetPr>
  <dimension ref="A1:Z1000"/>
  <sheetViews>
    <sheetView topLeftCell="B1" workbookViewId="0">
      <selection activeCell="J26" sqref="J26"/>
    </sheetView>
  </sheetViews>
  <sheetFormatPr baseColWidth="10" defaultColWidth="14.5" defaultRowHeight="15" customHeight="1" x14ac:dyDescent="0.2"/>
  <cols>
    <col min="1" max="1" width="4.5" customWidth="1"/>
    <col min="2" max="2" width="4.33203125" customWidth="1"/>
    <col min="3" max="3" width="9.1640625" customWidth="1"/>
    <col min="4" max="4" width="27.83203125" customWidth="1"/>
    <col min="5" max="5" width="2" customWidth="1"/>
    <col min="6" max="6" width="13" customWidth="1"/>
    <col min="7" max="7" width="13.6640625" customWidth="1"/>
    <col min="8" max="9" width="13.33203125" customWidth="1"/>
    <col min="10" max="10" width="17.5" customWidth="1"/>
    <col min="11" max="14" width="13" customWidth="1"/>
    <col min="15" max="16" width="17.5" customWidth="1"/>
    <col min="17" max="26" width="9.1640625" customWidth="1"/>
  </cols>
  <sheetData>
    <row r="1" spans="1:26" ht="12.75" customHeight="1" x14ac:dyDescent="0.2">
      <c r="A1" s="2" t="s">
        <v>1</v>
      </c>
      <c r="B1" s="77"/>
      <c r="C1" s="77"/>
      <c r="D1" s="77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</row>
    <row r="2" spans="1:26" ht="12.75" customHeight="1" x14ac:dyDescent="0.2">
      <c r="A2" s="2" t="s">
        <v>75</v>
      </c>
      <c r="B2" s="77"/>
      <c r="C2" s="77"/>
      <c r="D2" s="77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</row>
    <row r="3" spans="1:26" ht="12.75" customHeight="1" x14ac:dyDescent="0.2">
      <c r="A3" s="78" t="s">
        <v>76</v>
      </c>
      <c r="B3" s="77"/>
      <c r="C3" s="77"/>
      <c r="D3" s="77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</row>
    <row r="4" spans="1:26" ht="12.75" customHeight="1" x14ac:dyDescent="0.2">
      <c r="A4" s="78" t="s">
        <v>77</v>
      </c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</row>
    <row r="5" spans="1:26" ht="12.75" customHeight="1" x14ac:dyDescent="0.2">
      <c r="A5" s="78"/>
      <c r="B5" s="78"/>
      <c r="C5" s="78"/>
      <c r="D5" s="78"/>
      <c r="E5" s="79"/>
      <c r="F5" s="170" t="s">
        <v>78</v>
      </c>
      <c r="G5" s="171"/>
      <c r="H5" s="171"/>
      <c r="I5" s="171"/>
      <c r="J5" s="81" t="s">
        <v>79</v>
      </c>
      <c r="K5" s="170" t="s">
        <v>78</v>
      </c>
      <c r="L5" s="171"/>
      <c r="M5" s="171"/>
      <c r="N5" s="171"/>
      <c r="O5" s="81" t="s">
        <v>79</v>
      </c>
      <c r="P5" s="80" t="s">
        <v>78</v>
      </c>
      <c r="Q5" s="78"/>
      <c r="R5" s="78"/>
      <c r="S5" s="78"/>
      <c r="T5" s="78"/>
      <c r="U5" s="78"/>
      <c r="V5" s="78"/>
      <c r="W5" s="78"/>
      <c r="X5" s="78"/>
      <c r="Y5" s="78"/>
      <c r="Z5" s="78"/>
    </row>
    <row r="6" spans="1:26" ht="12.75" customHeight="1" x14ac:dyDescent="0.2">
      <c r="A6" s="78"/>
      <c r="B6" s="78"/>
      <c r="C6" s="78"/>
      <c r="D6" s="78"/>
      <c r="E6" s="82"/>
      <c r="F6" s="82" t="s">
        <v>80</v>
      </c>
      <c r="G6" s="82" t="s">
        <v>81</v>
      </c>
      <c r="H6" s="82" t="s">
        <v>82</v>
      </c>
      <c r="I6" s="82" t="s">
        <v>83</v>
      </c>
      <c r="J6" s="83" t="s">
        <v>83</v>
      </c>
      <c r="K6" s="82" t="s">
        <v>80</v>
      </c>
      <c r="L6" s="82" t="s">
        <v>81</v>
      </c>
      <c r="M6" s="82" t="s">
        <v>82</v>
      </c>
      <c r="N6" s="82" t="s">
        <v>83</v>
      </c>
      <c r="O6" s="83" t="s">
        <v>83</v>
      </c>
      <c r="P6" s="82" t="s">
        <v>80</v>
      </c>
      <c r="Q6" s="78"/>
      <c r="R6" s="78"/>
      <c r="S6" s="78"/>
      <c r="T6" s="78"/>
      <c r="U6" s="78"/>
      <c r="V6" s="78"/>
      <c r="W6" s="78"/>
      <c r="X6" s="78"/>
      <c r="Y6" s="78"/>
      <c r="Z6" s="78"/>
    </row>
    <row r="7" spans="1:26" ht="12.75" customHeight="1" x14ac:dyDescent="0.2">
      <c r="A7" s="78"/>
      <c r="B7" s="78"/>
      <c r="C7" s="78"/>
      <c r="D7" s="78"/>
      <c r="E7" s="84"/>
      <c r="F7" s="84">
        <v>2021</v>
      </c>
      <c r="G7" s="84">
        <v>2021</v>
      </c>
      <c r="H7" s="84">
        <v>2021</v>
      </c>
      <c r="I7" s="84">
        <v>2021</v>
      </c>
      <c r="J7" s="85">
        <v>2021</v>
      </c>
      <c r="K7" s="84">
        <v>2022</v>
      </c>
      <c r="L7" s="84">
        <v>2022</v>
      </c>
      <c r="M7" s="84">
        <v>2022</v>
      </c>
      <c r="N7" s="84">
        <v>2022</v>
      </c>
      <c r="O7" s="85">
        <v>2022</v>
      </c>
      <c r="P7" s="84">
        <v>2023</v>
      </c>
      <c r="Q7" s="78"/>
      <c r="R7" s="78"/>
      <c r="S7" s="78"/>
      <c r="T7" s="78"/>
      <c r="U7" s="78"/>
      <c r="V7" s="78"/>
      <c r="W7" s="78"/>
      <c r="X7" s="78"/>
      <c r="Y7" s="78"/>
      <c r="Z7" s="78"/>
    </row>
    <row r="8" spans="1:26" ht="12.75" customHeight="1" x14ac:dyDescent="0.2">
      <c r="A8" s="78"/>
      <c r="B8" s="78"/>
      <c r="C8" s="78"/>
      <c r="D8" s="78"/>
      <c r="E8" s="86"/>
      <c r="F8" s="78"/>
      <c r="G8" s="78"/>
      <c r="H8" s="78"/>
      <c r="I8" s="78"/>
      <c r="J8" s="87"/>
      <c r="K8" s="78"/>
      <c r="L8" s="78"/>
      <c r="M8" s="78"/>
      <c r="N8" s="78"/>
      <c r="O8" s="87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</row>
    <row r="9" spans="1:26" ht="12.75" customHeight="1" x14ac:dyDescent="0.2">
      <c r="A9" s="78" t="s">
        <v>14</v>
      </c>
      <c r="B9" s="78"/>
      <c r="C9" s="78"/>
      <c r="D9" s="78"/>
      <c r="E9" s="88"/>
      <c r="F9" s="89">
        <v>501429.74000000005</v>
      </c>
      <c r="G9" s="89">
        <v>513924.39000000007</v>
      </c>
      <c r="H9" s="89">
        <v>523842.69000000006</v>
      </c>
      <c r="I9" s="89">
        <v>539652.26</v>
      </c>
      <c r="J9" s="90">
        <f t="shared" ref="J9:J14" si="0">SUM(F9:I9)</f>
        <v>2078849.0800000003</v>
      </c>
      <c r="K9" s="89">
        <v>550743.69000000006</v>
      </c>
      <c r="L9" s="89">
        <v>557909.87</v>
      </c>
      <c r="M9" s="89">
        <v>554791.2300000001</v>
      </c>
      <c r="N9" s="89">
        <v>549643.71000000008</v>
      </c>
      <c r="O9" s="90">
        <f t="shared" ref="O9:O13" si="1">SUM(K9:N9)</f>
        <v>2213088.5</v>
      </c>
      <c r="P9" s="89">
        <v>571305.21000000008</v>
      </c>
      <c r="Q9" s="78"/>
      <c r="R9" s="78"/>
      <c r="S9" s="78"/>
      <c r="T9" s="78"/>
      <c r="U9" s="78"/>
      <c r="V9" s="78"/>
      <c r="W9" s="78"/>
      <c r="X9" s="78"/>
      <c r="Y9" s="78"/>
      <c r="Z9" s="78"/>
    </row>
    <row r="10" spans="1:26" ht="12.75" customHeight="1" x14ac:dyDescent="0.2">
      <c r="A10" s="78"/>
      <c r="B10" s="78" t="s">
        <v>84</v>
      </c>
      <c r="C10" s="78"/>
      <c r="D10" s="78"/>
      <c r="E10" s="78"/>
      <c r="F10" s="91">
        <v>270795.77</v>
      </c>
      <c r="G10" s="91">
        <v>281260.56000000006</v>
      </c>
      <c r="H10" s="91">
        <v>294461.23000000004</v>
      </c>
      <c r="I10" s="91">
        <v>366770.25000000006</v>
      </c>
      <c r="J10" s="92">
        <f t="shared" si="0"/>
        <v>1213287.81</v>
      </c>
      <c r="K10" s="91">
        <v>299929.35000000003</v>
      </c>
      <c r="L10" s="91">
        <v>328352.85000000003</v>
      </c>
      <c r="M10" s="91">
        <v>335206.55000000005</v>
      </c>
      <c r="N10" s="91">
        <v>378291.20000000001</v>
      </c>
      <c r="O10" s="92">
        <f t="shared" si="1"/>
        <v>1341779.9500000002</v>
      </c>
      <c r="P10" s="91">
        <v>336253.75000000006</v>
      </c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 spans="1:26" ht="12.75" customHeight="1" x14ac:dyDescent="0.2">
      <c r="A11" s="78"/>
      <c r="B11" s="78" t="s">
        <v>85</v>
      </c>
      <c r="C11" s="78"/>
      <c r="D11" s="78"/>
      <c r="E11" s="93"/>
      <c r="F11" s="91">
        <v>35875.840000000004</v>
      </c>
      <c r="G11" s="91">
        <v>42278.11</v>
      </c>
      <c r="H11" s="91">
        <v>44516.360000000008</v>
      </c>
      <c r="I11" s="91">
        <v>55489.91</v>
      </c>
      <c r="J11" s="92">
        <f t="shared" si="0"/>
        <v>178160.22000000003</v>
      </c>
      <c r="K11" s="91">
        <v>38918.460000000006</v>
      </c>
      <c r="L11" s="91">
        <v>40247.200000000004</v>
      </c>
      <c r="M11" s="91">
        <v>39756.780000000006</v>
      </c>
      <c r="N11" s="91">
        <v>58212.700000000004</v>
      </c>
      <c r="O11" s="92">
        <f t="shared" si="1"/>
        <v>177135.14</v>
      </c>
      <c r="P11" s="91">
        <v>38875.340000000004</v>
      </c>
      <c r="Q11" s="78"/>
      <c r="R11" s="78"/>
      <c r="S11" s="78"/>
      <c r="T11" s="78"/>
      <c r="U11" s="78"/>
      <c r="V11" s="78"/>
      <c r="W11" s="78"/>
      <c r="X11" s="78"/>
      <c r="Y11" s="78"/>
      <c r="Z11" s="78"/>
    </row>
    <row r="12" spans="1:26" ht="12.75" customHeight="1" x14ac:dyDescent="0.2">
      <c r="A12" s="78"/>
      <c r="B12" s="78" t="s">
        <v>86</v>
      </c>
      <c r="C12" s="78"/>
      <c r="D12" s="78"/>
      <c r="E12" s="93"/>
      <c r="F12" s="91">
        <v>36764.490000000005</v>
      </c>
      <c r="G12" s="91">
        <v>37612.47</v>
      </c>
      <c r="H12" s="91">
        <v>39472.090000000004</v>
      </c>
      <c r="I12" s="91">
        <v>45322.9</v>
      </c>
      <c r="J12" s="92">
        <f t="shared" si="0"/>
        <v>159171.95000000001</v>
      </c>
      <c r="K12" s="91">
        <v>46027.100000000006</v>
      </c>
      <c r="L12" s="91">
        <v>50179.22</v>
      </c>
      <c r="M12" s="91">
        <v>46391.73</v>
      </c>
      <c r="N12" s="91">
        <v>47174.820000000007</v>
      </c>
      <c r="O12" s="92">
        <f t="shared" si="1"/>
        <v>189772.87000000002</v>
      </c>
      <c r="P12" s="91">
        <v>48109.250000000007</v>
      </c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 spans="1:26" ht="12.75" customHeight="1" x14ac:dyDescent="0.2">
      <c r="A13" s="78"/>
      <c r="B13" s="78" t="s">
        <v>87</v>
      </c>
      <c r="C13" s="78"/>
      <c r="D13" s="78"/>
      <c r="E13" s="93"/>
      <c r="F13" s="94">
        <v>20803.72</v>
      </c>
      <c r="G13" s="94">
        <v>23439.15</v>
      </c>
      <c r="H13" s="94">
        <v>22525.300000000003</v>
      </c>
      <c r="I13" s="91">
        <v>27845.300000000003</v>
      </c>
      <c r="J13" s="92">
        <f t="shared" si="0"/>
        <v>94613.470000000016</v>
      </c>
      <c r="K13" s="94">
        <v>27854.960000000003</v>
      </c>
      <c r="L13" s="94">
        <v>28650.790000000005</v>
      </c>
      <c r="M13" s="94">
        <v>26124.910000000003</v>
      </c>
      <c r="N13" s="91">
        <v>27471.710000000003</v>
      </c>
      <c r="O13" s="92">
        <f t="shared" si="1"/>
        <v>110102.37000000001</v>
      </c>
      <c r="P13" s="91">
        <v>28064.680000000004</v>
      </c>
      <c r="Q13" s="78"/>
      <c r="R13" s="78"/>
      <c r="S13" s="78"/>
      <c r="T13" s="78"/>
      <c r="U13" s="78"/>
      <c r="V13" s="78"/>
      <c r="W13" s="78"/>
      <c r="X13" s="78"/>
      <c r="Y13" s="78"/>
      <c r="Z13" s="78"/>
    </row>
    <row r="14" spans="1:26" ht="12.75" customHeight="1" x14ac:dyDescent="0.2">
      <c r="A14" s="78" t="s">
        <v>88</v>
      </c>
      <c r="B14" s="78"/>
      <c r="C14" s="78"/>
      <c r="D14" s="78"/>
      <c r="E14" s="93"/>
      <c r="F14" s="95">
        <f t="shared" ref="F14:I14" si="2">F9-SUM(F10:F13)</f>
        <v>137189.91999999998</v>
      </c>
      <c r="G14" s="95">
        <f t="shared" si="2"/>
        <v>129334.10000000003</v>
      </c>
      <c r="H14" s="95">
        <f t="shared" si="2"/>
        <v>122867.71000000002</v>
      </c>
      <c r="I14" s="95">
        <f t="shared" si="2"/>
        <v>44223.899999999965</v>
      </c>
      <c r="J14" s="96">
        <f t="shared" si="0"/>
        <v>433615.63</v>
      </c>
      <c r="K14" s="95">
        <f t="shared" ref="K14:P14" si="3">K9-SUM(K10:K13)</f>
        <v>138013.82</v>
      </c>
      <c r="L14" s="95">
        <f t="shared" si="3"/>
        <v>110479.81</v>
      </c>
      <c r="M14" s="95">
        <f t="shared" si="3"/>
        <v>107311.26000000001</v>
      </c>
      <c r="N14" s="95">
        <f t="shared" si="3"/>
        <v>38493.280000000028</v>
      </c>
      <c r="O14" s="96">
        <f t="shared" si="3"/>
        <v>394298.16999999946</v>
      </c>
      <c r="P14" s="95">
        <f t="shared" si="3"/>
        <v>120002.19</v>
      </c>
      <c r="Q14" s="78"/>
      <c r="R14" s="78"/>
      <c r="S14" s="78"/>
      <c r="T14" s="78"/>
      <c r="U14" s="78"/>
      <c r="V14" s="78"/>
      <c r="W14" s="78"/>
      <c r="X14" s="78"/>
      <c r="Y14" s="78"/>
      <c r="Z14" s="78"/>
    </row>
    <row r="15" spans="1:26" ht="12.75" customHeight="1" x14ac:dyDescent="0.2">
      <c r="A15" s="78" t="s">
        <v>89</v>
      </c>
      <c r="B15" s="78"/>
      <c r="C15" s="78"/>
      <c r="D15" s="78"/>
      <c r="E15" s="78"/>
      <c r="F15" s="93"/>
      <c r="G15" s="93"/>
      <c r="H15" s="93"/>
      <c r="I15" s="93"/>
      <c r="J15" s="92"/>
      <c r="K15" s="93"/>
      <c r="L15" s="93"/>
      <c r="M15" s="93"/>
      <c r="N15" s="93"/>
      <c r="O15" s="92"/>
      <c r="P15" s="93"/>
      <c r="Q15" s="78"/>
      <c r="R15" s="78"/>
      <c r="S15" s="78"/>
      <c r="T15" s="78"/>
      <c r="U15" s="78"/>
      <c r="V15" s="78"/>
      <c r="W15" s="78"/>
      <c r="X15" s="78"/>
      <c r="Y15" s="78"/>
      <c r="Z15" s="78"/>
    </row>
    <row r="16" spans="1:26" ht="12.75" customHeight="1" x14ac:dyDescent="0.2">
      <c r="A16" s="78"/>
      <c r="B16" s="78" t="s">
        <v>90</v>
      </c>
      <c r="C16" s="78"/>
      <c r="D16" s="78"/>
      <c r="E16" s="78"/>
      <c r="F16" s="97">
        <v>-13610.800000000001</v>
      </c>
      <c r="G16" s="97">
        <v>-13392.54</v>
      </c>
      <c r="H16" s="97">
        <v>-13330.03</v>
      </c>
      <c r="I16" s="97">
        <v>-13260.03</v>
      </c>
      <c r="J16" s="92">
        <f t="shared" ref="J16:J20" si="4">SUM(F16:I16)</f>
        <v>-53593.4</v>
      </c>
      <c r="K16" s="97">
        <v>-13130.53</v>
      </c>
      <c r="L16" s="97">
        <v>-12281.85</v>
      </c>
      <c r="M16" s="97">
        <v>-12080.250000000002</v>
      </c>
      <c r="N16" s="97">
        <v>-11942.210000000001</v>
      </c>
      <c r="O16" s="92">
        <f t="shared" ref="O16:O17" si="5">SUM(K16:N16)</f>
        <v>-49434.840000000004</v>
      </c>
      <c r="P16" s="97">
        <v>-12196.730000000001</v>
      </c>
      <c r="Q16" s="78"/>
      <c r="R16" s="78"/>
      <c r="S16" s="78"/>
      <c r="T16" s="78"/>
      <c r="U16" s="78"/>
      <c r="V16" s="78"/>
      <c r="W16" s="78"/>
      <c r="X16" s="78"/>
      <c r="Y16" s="78"/>
      <c r="Z16" s="78"/>
    </row>
    <row r="17" spans="1:26" ht="12.75" customHeight="1" x14ac:dyDescent="0.2">
      <c r="A17" s="78"/>
      <c r="B17" s="78" t="s">
        <v>91</v>
      </c>
      <c r="C17" s="78"/>
      <c r="D17" s="78"/>
      <c r="E17" s="93"/>
      <c r="F17" s="97">
        <v>18836.02</v>
      </c>
      <c r="G17" s="97">
        <v>-4376.3300000000008</v>
      </c>
      <c r="H17" s="97">
        <v>6729.4500000000007</v>
      </c>
      <c r="I17" s="97">
        <v>7595.8400000000011</v>
      </c>
      <c r="J17" s="92">
        <f t="shared" si="4"/>
        <v>28784.98</v>
      </c>
      <c r="K17" s="97">
        <v>13695.150000000001</v>
      </c>
      <c r="L17" s="97">
        <v>15415.820000000002</v>
      </c>
      <c r="M17" s="97">
        <v>18298.280000000002</v>
      </c>
      <c r="N17" s="97">
        <v>-23797.550000000003</v>
      </c>
      <c r="O17" s="92">
        <f t="shared" si="5"/>
        <v>23611.699999999997</v>
      </c>
      <c r="P17" s="97">
        <v>-4984.2800000000007</v>
      </c>
      <c r="Q17" s="78"/>
      <c r="R17" s="78"/>
      <c r="S17" s="78"/>
      <c r="T17" s="78"/>
      <c r="U17" s="78"/>
      <c r="V17" s="78"/>
      <c r="W17" s="78"/>
      <c r="X17" s="78"/>
      <c r="Y17" s="78"/>
      <c r="Z17" s="78"/>
    </row>
    <row r="18" spans="1:26" ht="12.75" customHeight="1" x14ac:dyDescent="0.2">
      <c r="A18" s="78" t="s">
        <v>92</v>
      </c>
      <c r="B18" s="78"/>
      <c r="C18" s="78"/>
      <c r="D18" s="78"/>
      <c r="E18" s="93"/>
      <c r="F18" s="95">
        <f t="shared" ref="F18:I18" si="6">SUM(F14:F17)</f>
        <v>142415.13999999998</v>
      </c>
      <c r="G18" s="95">
        <f t="shared" si="6"/>
        <v>111565.23000000003</v>
      </c>
      <c r="H18" s="95">
        <f t="shared" si="6"/>
        <v>116267.13000000002</v>
      </c>
      <c r="I18" s="95">
        <f t="shared" si="6"/>
        <v>38559.70999999997</v>
      </c>
      <c r="J18" s="96">
        <f t="shared" si="4"/>
        <v>408807.20999999996</v>
      </c>
      <c r="K18" s="95">
        <f t="shared" ref="K18:P18" si="7">SUM(K14:K17)</f>
        <v>138578.44</v>
      </c>
      <c r="L18" s="95">
        <f t="shared" si="7"/>
        <v>113613.78</v>
      </c>
      <c r="M18" s="95">
        <f t="shared" si="7"/>
        <v>113529.29000000001</v>
      </c>
      <c r="N18" s="95">
        <f t="shared" si="7"/>
        <v>2753.5200000000259</v>
      </c>
      <c r="O18" s="96">
        <f t="shared" si="7"/>
        <v>368475.02999999945</v>
      </c>
      <c r="P18" s="95">
        <f t="shared" si="7"/>
        <v>102821.18000000001</v>
      </c>
      <c r="Q18" s="78"/>
      <c r="R18" s="78"/>
      <c r="S18" s="78"/>
      <c r="T18" s="78"/>
      <c r="U18" s="78"/>
      <c r="V18" s="78"/>
      <c r="W18" s="78"/>
      <c r="X18" s="78"/>
      <c r="Y18" s="78"/>
      <c r="Z18" s="78"/>
    </row>
    <row r="19" spans="1:26" ht="12.75" customHeight="1" x14ac:dyDescent="0.2">
      <c r="A19" s="78" t="s">
        <v>93</v>
      </c>
      <c r="B19" s="78"/>
      <c r="C19" s="78"/>
      <c r="D19" s="78"/>
      <c r="E19" s="93"/>
      <c r="F19" s="98">
        <v>-22945.090000000004</v>
      </c>
      <c r="G19" s="98">
        <v>-16854.320000000003</v>
      </c>
      <c r="H19" s="98">
        <v>-14832.160000000002</v>
      </c>
      <c r="I19" s="97">
        <v>3960.32</v>
      </c>
      <c r="J19" s="92">
        <f t="shared" si="4"/>
        <v>-50671.250000000007</v>
      </c>
      <c r="K19" s="98">
        <v>-26757.15</v>
      </c>
      <c r="L19" s="98">
        <v>-12747.210000000001</v>
      </c>
      <c r="M19" s="98">
        <v>-15652.350000000002</v>
      </c>
      <c r="N19" s="97">
        <v>1116.3600000000001</v>
      </c>
      <c r="O19" s="92">
        <f>SUM(K19:N19)</f>
        <v>-54040.350000000006</v>
      </c>
      <c r="P19" s="97">
        <v>-802.39460000000008</v>
      </c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 spans="1:26" ht="12.75" customHeight="1" x14ac:dyDescent="0.2">
      <c r="A20" s="78" t="s">
        <v>94</v>
      </c>
      <c r="B20" s="78"/>
      <c r="C20" s="78"/>
      <c r="D20" s="78"/>
      <c r="E20" s="88"/>
      <c r="F20" s="99">
        <f t="shared" ref="F20:I20" si="8">F18+F19</f>
        <v>119470.04999999999</v>
      </c>
      <c r="G20" s="99">
        <f t="shared" si="8"/>
        <v>94710.910000000018</v>
      </c>
      <c r="H20" s="99">
        <f t="shared" si="8"/>
        <v>101434.97000000002</v>
      </c>
      <c r="I20" s="99">
        <f t="shared" si="8"/>
        <v>42520.02999999997</v>
      </c>
      <c r="J20" s="100">
        <f t="shared" si="4"/>
        <v>358135.96</v>
      </c>
      <c r="K20" s="99">
        <f t="shared" ref="K20:P20" si="9">K18+K19</f>
        <v>111821.29000000001</v>
      </c>
      <c r="L20" s="99">
        <f t="shared" si="9"/>
        <v>100866.56999999999</v>
      </c>
      <c r="M20" s="99">
        <f t="shared" si="9"/>
        <v>97876.94</v>
      </c>
      <c r="N20" s="99">
        <f t="shared" si="9"/>
        <v>3869.880000000026</v>
      </c>
      <c r="O20" s="100">
        <f t="shared" si="9"/>
        <v>314434.67999999947</v>
      </c>
      <c r="P20" s="99">
        <f t="shared" si="9"/>
        <v>102018.78540000001</v>
      </c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 spans="1:26" ht="12.75" customHeight="1" x14ac:dyDescent="0.2">
      <c r="A21" s="78" t="s">
        <v>95</v>
      </c>
      <c r="B21" s="78"/>
      <c r="C21" s="78"/>
      <c r="D21" s="78"/>
      <c r="E21" s="78"/>
      <c r="F21" s="101"/>
      <c r="G21" s="101"/>
      <c r="H21" s="101"/>
      <c r="I21" s="101"/>
      <c r="J21" s="102"/>
      <c r="K21" s="101"/>
      <c r="L21" s="101"/>
      <c r="M21" s="101"/>
      <c r="N21" s="101"/>
      <c r="O21" s="102"/>
      <c r="P21" s="101"/>
      <c r="Q21" s="78"/>
      <c r="R21" s="78"/>
      <c r="S21" s="78"/>
      <c r="T21" s="78"/>
      <c r="U21" s="78"/>
      <c r="V21" s="78"/>
      <c r="W21" s="78"/>
      <c r="X21" s="78"/>
      <c r="Y21" s="78"/>
      <c r="Z21" s="78"/>
    </row>
    <row r="22" spans="1:26" ht="12.75" customHeight="1" x14ac:dyDescent="0.2">
      <c r="A22" s="78"/>
      <c r="B22" s="78" t="s">
        <v>96</v>
      </c>
      <c r="C22" s="78"/>
      <c r="D22" s="103"/>
      <c r="E22" s="104"/>
      <c r="F22" s="103">
        <f t="shared" ref="F22:I22" si="10">F20/F25</f>
        <v>3.850682724762196</v>
      </c>
      <c r="G22" s="103">
        <f t="shared" si="10"/>
        <v>3.053109606258702</v>
      </c>
      <c r="H22" s="103">
        <f t="shared" si="10"/>
        <v>3.2726806661577585</v>
      </c>
      <c r="I22" s="103">
        <f t="shared" si="10"/>
        <v>1.3697430670497122</v>
      </c>
      <c r="J22" s="105">
        <f t="shared" ref="J22:J23" si="11">SUM(F22:I22)</f>
        <v>11.546216064228368</v>
      </c>
      <c r="K22" s="103">
        <f t="shared" ref="K22:N22" si="12">K20/K25</f>
        <v>3.5966709145190996</v>
      </c>
      <c r="L22" s="103">
        <f t="shared" si="12"/>
        <v>3.241318885992122</v>
      </c>
      <c r="M22" s="103">
        <f t="shared" si="12"/>
        <v>3.1429785244493993</v>
      </c>
      <c r="N22" s="103">
        <f t="shared" si="12"/>
        <v>0.12417789757412481</v>
      </c>
      <c r="O22" s="105">
        <f t="shared" ref="O22:O23" si="13">SUM(K22:N22)</f>
        <v>10.105146222534746</v>
      </c>
      <c r="P22" s="103">
        <f>P20/P25</f>
        <v>3.2732866024022784</v>
      </c>
      <c r="Q22" s="78"/>
      <c r="R22" s="78"/>
      <c r="S22" s="78"/>
      <c r="T22" s="78"/>
      <c r="U22" s="78"/>
      <c r="V22" s="78"/>
      <c r="W22" s="78"/>
      <c r="X22" s="78"/>
      <c r="Y22" s="78"/>
      <c r="Z22" s="78"/>
    </row>
    <row r="23" spans="1:26" ht="12.75" customHeight="1" x14ac:dyDescent="0.2">
      <c r="A23" s="78"/>
      <c r="B23" s="78" t="s">
        <v>97</v>
      </c>
      <c r="C23" s="78"/>
      <c r="D23" s="78"/>
      <c r="E23" s="104"/>
      <c r="F23" s="103">
        <f t="shared" ref="F23:I23" si="14">F20/F26</f>
        <v>3.745745005388013</v>
      </c>
      <c r="G23" s="103">
        <f t="shared" si="14"/>
        <v>2.9728121038211146</v>
      </c>
      <c r="H23" s="103">
        <f t="shared" si="14"/>
        <v>3.1852964774413368</v>
      </c>
      <c r="I23" s="103">
        <f t="shared" si="14"/>
        <v>1.3326802619598712</v>
      </c>
      <c r="J23" s="105">
        <f t="shared" si="11"/>
        <v>11.236533848610335</v>
      </c>
      <c r="K23" s="103">
        <f t="shared" ref="K23:N23" si="15">K20/K26</f>
        <v>3.5264976246401636</v>
      </c>
      <c r="L23" s="103">
        <f t="shared" si="15"/>
        <v>3.2009112133443214</v>
      </c>
      <c r="M23" s="103">
        <f t="shared" si="15"/>
        <v>3.104830973655694</v>
      </c>
      <c r="N23" s="103">
        <f t="shared" si="15"/>
        <v>0.12240478778874826</v>
      </c>
      <c r="O23" s="105">
        <f t="shared" si="13"/>
        <v>9.9546445994289261</v>
      </c>
      <c r="P23" s="103">
        <f>P20/P26</f>
        <v>3.2213891608847591</v>
      </c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 spans="1:26" ht="12.75" customHeight="1" x14ac:dyDescent="0.2">
      <c r="A24" s="78" t="s">
        <v>98</v>
      </c>
      <c r="B24" s="78"/>
      <c r="C24" s="78"/>
      <c r="D24" s="78"/>
      <c r="E24" s="78"/>
      <c r="F24" s="106"/>
      <c r="G24" s="106"/>
      <c r="H24" s="106"/>
      <c r="I24" s="106"/>
      <c r="J24" s="87"/>
      <c r="K24" s="106"/>
      <c r="L24" s="106"/>
      <c r="M24" s="106"/>
      <c r="N24" s="106"/>
      <c r="O24" s="87"/>
      <c r="P24" s="106"/>
      <c r="Q24" s="78"/>
      <c r="R24" s="78"/>
      <c r="S24" s="78"/>
      <c r="T24" s="78"/>
      <c r="U24" s="78"/>
      <c r="V24" s="78"/>
      <c r="W24" s="78"/>
      <c r="X24" s="78"/>
      <c r="Y24" s="78"/>
      <c r="Z24" s="78"/>
    </row>
    <row r="25" spans="1:26" ht="12.75" customHeight="1" x14ac:dyDescent="0.2">
      <c r="A25" s="78"/>
      <c r="B25" s="78" t="s">
        <v>96</v>
      </c>
      <c r="C25" s="78"/>
      <c r="D25" s="78"/>
      <c r="E25" s="106"/>
      <c r="F25" s="107">
        <v>31025.680000000004</v>
      </c>
      <c r="G25" s="107">
        <v>31021.130000000005</v>
      </c>
      <c r="H25" s="107">
        <v>30994.460000000003</v>
      </c>
      <c r="I25" s="107">
        <v>31042.340000000004</v>
      </c>
      <c r="J25" s="108">
        <f t="shared" ref="J25:J26" si="16">I25</f>
        <v>31042.340000000004</v>
      </c>
      <c r="K25" s="107">
        <v>31090.22</v>
      </c>
      <c r="L25" s="107">
        <v>31118.99</v>
      </c>
      <c r="M25" s="107">
        <v>31141.460000000003</v>
      </c>
      <c r="N25" s="107">
        <v>31164.000000000004</v>
      </c>
      <c r="O25" s="108">
        <f t="shared" ref="O25:O26" si="17">N25</f>
        <v>31164.000000000004</v>
      </c>
      <c r="P25" s="107">
        <v>31167.08</v>
      </c>
      <c r="Q25" s="78"/>
      <c r="R25" s="78"/>
      <c r="S25" s="78"/>
      <c r="T25" s="78"/>
      <c r="U25" s="78"/>
      <c r="V25" s="78"/>
      <c r="W25" s="78"/>
      <c r="X25" s="78"/>
      <c r="Y25" s="78"/>
      <c r="Z25" s="78"/>
    </row>
    <row r="26" spans="1:26" ht="12.75" customHeight="1" x14ac:dyDescent="0.2">
      <c r="A26" s="78"/>
      <c r="B26" s="78" t="s">
        <v>97</v>
      </c>
      <c r="C26" s="78"/>
      <c r="D26" s="78"/>
      <c r="E26" s="106"/>
      <c r="F26" s="107">
        <v>31894.870000000003</v>
      </c>
      <c r="G26" s="107">
        <v>31859.030000000002</v>
      </c>
      <c r="H26" s="107">
        <v>31844.750000000004</v>
      </c>
      <c r="I26" s="107">
        <v>31905.65</v>
      </c>
      <c r="J26" s="108">
        <f t="shared" si="16"/>
        <v>31905.65</v>
      </c>
      <c r="K26" s="107">
        <v>31708.880000000005</v>
      </c>
      <c r="L26" s="107">
        <v>31511.83</v>
      </c>
      <c r="M26" s="107">
        <v>31524.080000000002</v>
      </c>
      <c r="N26" s="107">
        <v>31615.430000000004</v>
      </c>
      <c r="O26" s="108">
        <f t="shared" si="17"/>
        <v>31615.430000000004</v>
      </c>
      <c r="P26" s="107">
        <v>31669.190000000002</v>
      </c>
      <c r="Q26" s="78"/>
      <c r="R26" s="78"/>
      <c r="S26" s="78"/>
      <c r="T26" s="78"/>
      <c r="U26" s="78"/>
      <c r="V26" s="78"/>
      <c r="W26" s="78"/>
      <c r="X26" s="78"/>
      <c r="Y26" s="78"/>
      <c r="Z26" s="78"/>
    </row>
    <row r="27" spans="1:26" ht="12.75" customHeight="1" x14ac:dyDescent="0.2">
      <c r="A27" s="78"/>
      <c r="B27" s="78"/>
      <c r="C27" s="78"/>
      <c r="D27" s="78"/>
      <c r="E27" s="106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</row>
    <row r="28" spans="1:26" ht="12.75" customHeight="1" x14ac:dyDescent="0.2">
      <c r="A28" s="78"/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</row>
    <row r="29" spans="1:26" ht="12.75" customHeight="1" x14ac:dyDescent="0.2">
      <c r="A29" s="78"/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 spans="1:26" ht="12.75" customHeight="1" x14ac:dyDescent="0.2">
      <c r="A30" s="78"/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</row>
    <row r="31" spans="1:26" ht="12.75" customHeight="1" x14ac:dyDescent="0.2">
      <c r="A31" s="78"/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</row>
    <row r="32" spans="1:26" ht="12.75" customHeight="1" x14ac:dyDescent="0.2">
      <c r="A32" s="78"/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 spans="1:26" ht="12.75" customHeight="1" x14ac:dyDescent="0.2">
      <c r="A33" s="78"/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 spans="1:26" ht="12.75" customHeight="1" x14ac:dyDescent="0.2">
      <c r="A34" s="78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 spans="1:26" ht="12.75" customHeight="1" x14ac:dyDescent="0.2">
      <c r="A35" s="78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 spans="1:26" ht="12.75" customHeight="1" x14ac:dyDescent="0.2">
      <c r="A36" s="78"/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</row>
    <row r="37" spans="1:26" ht="12.75" customHeight="1" x14ac:dyDescent="0.2">
      <c r="A37" s="78"/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 spans="1:26" ht="12.75" customHeight="1" x14ac:dyDescent="0.2">
      <c r="A38" s="78"/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 spans="1:26" ht="12.75" customHeight="1" x14ac:dyDescent="0.2">
      <c r="A39" s="78"/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 spans="1:26" ht="12.75" customHeight="1" x14ac:dyDescent="0.2">
      <c r="A40" s="78"/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 spans="1:26" ht="12.75" customHeight="1" x14ac:dyDescent="0.2">
      <c r="A41" s="78"/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</row>
    <row r="42" spans="1:26" ht="12.75" customHeight="1" x14ac:dyDescent="0.2">
      <c r="A42" s="78"/>
      <c r="B42" s="78"/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 spans="1:26" ht="12.75" customHeight="1" x14ac:dyDescent="0.2">
      <c r="A43" s="78"/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 spans="1:26" ht="12.75" customHeight="1" x14ac:dyDescent="0.2">
      <c r="A44" s="78"/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 spans="1:26" ht="12.75" customHeight="1" x14ac:dyDescent="0.2">
      <c r="A45" s="78"/>
      <c r="B45" s="78"/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</row>
    <row r="46" spans="1:26" ht="12.75" customHeight="1" x14ac:dyDescent="0.2">
      <c r="A46" s="78"/>
      <c r="B46" s="78"/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 spans="1:26" ht="12.75" customHeight="1" x14ac:dyDescent="0.2">
      <c r="A47" s="78"/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 spans="1:26" ht="12.75" customHeight="1" x14ac:dyDescent="0.2">
      <c r="A48" s="78"/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 spans="1:26" ht="12.75" customHeight="1" x14ac:dyDescent="0.2">
      <c r="A49" s="78"/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 spans="1:26" ht="12.75" customHeight="1" x14ac:dyDescent="0.2">
      <c r="A50" s="78"/>
      <c r="B50" s="78"/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</row>
    <row r="51" spans="1:26" ht="12.75" customHeight="1" x14ac:dyDescent="0.2">
      <c r="A51" s="78"/>
      <c r="B51" s="78"/>
      <c r="C51" s="78"/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 spans="1:26" ht="12.75" customHeight="1" x14ac:dyDescent="0.2">
      <c r="A52" s="78"/>
      <c r="B52" s="78"/>
      <c r="C52" s="78"/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 spans="1:26" ht="12.75" customHeight="1" x14ac:dyDescent="0.2">
      <c r="A53" s="78"/>
      <c r="B53" s="78"/>
      <c r="C53" s="78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 spans="1:26" ht="12.75" customHeight="1" x14ac:dyDescent="0.2">
      <c r="A54" s="78"/>
      <c r="B54" s="78"/>
      <c r="C54" s="78"/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 spans="1:26" ht="12.75" customHeight="1" x14ac:dyDescent="0.2">
      <c r="A55" s="78"/>
      <c r="B55" s="78"/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spans="1:26" ht="12.75" customHeight="1" x14ac:dyDescent="0.2">
      <c r="A56" s="78"/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 spans="1:26" ht="12.75" customHeight="1" x14ac:dyDescent="0.2">
      <c r="A57" s="78"/>
      <c r="B57" s="78"/>
      <c r="C57" s="78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 spans="1:26" ht="12.75" customHeight="1" x14ac:dyDescent="0.2">
      <c r="A58" s="78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 spans="1:26" ht="12.75" customHeight="1" x14ac:dyDescent="0.2">
      <c r="A59" s="78"/>
      <c r="B59" s="78"/>
      <c r="C59" s="78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 spans="1:26" ht="12.75" customHeight="1" x14ac:dyDescent="0.2">
      <c r="A60" s="78"/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</row>
    <row r="61" spans="1:26" ht="12.75" customHeight="1" x14ac:dyDescent="0.2">
      <c r="A61" s="78"/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 spans="1:26" ht="12.75" customHeight="1" x14ac:dyDescent="0.2">
      <c r="A62" s="78"/>
      <c r="B62" s="78"/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 spans="1:26" ht="12.75" customHeight="1" x14ac:dyDescent="0.2">
      <c r="A63" s="78"/>
      <c r="B63" s="78"/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 spans="1:26" ht="12.75" customHeight="1" x14ac:dyDescent="0.2">
      <c r="A64" s="78"/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</row>
    <row r="65" spans="1:26" ht="12.75" customHeight="1" x14ac:dyDescent="0.2">
      <c r="A65" s="78"/>
      <c r="B65" s="78"/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 spans="1:26" ht="12.75" customHeight="1" x14ac:dyDescent="0.2">
      <c r="A66" s="78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 spans="1:26" ht="12.75" customHeight="1" x14ac:dyDescent="0.2">
      <c r="A67" s="78"/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 spans="1:26" ht="12.75" customHeight="1" x14ac:dyDescent="0.2">
      <c r="A68" s="78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</row>
    <row r="69" spans="1:26" ht="12.75" customHeight="1" x14ac:dyDescent="0.2">
      <c r="A69" s="78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 spans="1:26" ht="12.75" customHeight="1" x14ac:dyDescent="0.2">
      <c r="A70" s="78"/>
      <c r="B70" s="78"/>
      <c r="C70" s="78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 spans="1:26" ht="12.75" customHeight="1" x14ac:dyDescent="0.2">
      <c r="A71" s="78"/>
      <c r="B71" s="78"/>
      <c r="C71" s="7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 spans="1:26" ht="12.75" customHeight="1" x14ac:dyDescent="0.2">
      <c r="A72" s="78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 spans="1:26" ht="12.75" customHeight="1" x14ac:dyDescent="0.2">
      <c r="A73" s="78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</row>
    <row r="74" spans="1:26" ht="12.75" customHeight="1" x14ac:dyDescent="0.2">
      <c r="A74" s="78"/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 spans="1:26" ht="12.75" customHeight="1" x14ac:dyDescent="0.2">
      <c r="A75" s="78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 spans="1:26" ht="12.75" customHeight="1" x14ac:dyDescent="0.2">
      <c r="A76" s="78"/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 spans="1:26" ht="12.75" customHeight="1" x14ac:dyDescent="0.2">
      <c r="A77" s="78"/>
      <c r="B77" s="78"/>
      <c r="C77" s="78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 spans="1:26" ht="12.75" customHeight="1" x14ac:dyDescent="0.2">
      <c r="A78" s="78"/>
      <c r="B78" s="78"/>
      <c r="C78" s="78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</row>
    <row r="79" spans="1:26" ht="12.75" customHeight="1" x14ac:dyDescent="0.2">
      <c r="A79" s="78"/>
      <c r="B79" s="78"/>
      <c r="C79" s="78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 spans="1:26" ht="12.75" customHeight="1" x14ac:dyDescent="0.2">
      <c r="A80" s="78"/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 spans="1:26" ht="12.75" customHeight="1" x14ac:dyDescent="0.2">
      <c r="A81" s="78"/>
      <c r="B81" s="78"/>
      <c r="C81" s="78"/>
      <c r="D81" s="78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 spans="1:26" ht="12.75" customHeight="1" x14ac:dyDescent="0.2">
      <c r="A82" s="78"/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 spans="1:26" ht="12.75" customHeight="1" x14ac:dyDescent="0.2">
      <c r="A83" s="78"/>
      <c r="B83" s="78"/>
      <c r="C83" s="78"/>
      <c r="D83" s="78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</row>
    <row r="84" spans="1:26" ht="12.75" customHeight="1" x14ac:dyDescent="0.2">
      <c r="A84" s="78"/>
      <c r="B84" s="78"/>
      <c r="C84" s="78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 spans="1:26" ht="12.75" customHeight="1" x14ac:dyDescent="0.2">
      <c r="A85" s="78"/>
      <c r="B85" s="78"/>
      <c r="C85" s="78"/>
      <c r="D85" s="78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 spans="1:26" ht="12.75" customHeight="1" x14ac:dyDescent="0.2">
      <c r="A86" s="78"/>
      <c r="B86" s="78"/>
      <c r="C86" s="78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 spans="1:26" ht="12.75" customHeight="1" x14ac:dyDescent="0.2">
      <c r="A87" s="78"/>
      <c r="B87" s="78"/>
      <c r="C87" s="78"/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</row>
    <row r="88" spans="1:26" ht="12.75" customHeight="1" x14ac:dyDescent="0.2">
      <c r="A88" s="78"/>
      <c r="B88" s="78"/>
      <c r="C88" s="7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 spans="1:26" ht="12.75" customHeight="1" x14ac:dyDescent="0.2">
      <c r="A89" s="78"/>
      <c r="B89" s="78"/>
      <c r="C89" s="78"/>
      <c r="D89" s="78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 spans="1:26" ht="12.75" customHeight="1" x14ac:dyDescent="0.2">
      <c r="A90" s="78"/>
      <c r="B90" s="78"/>
      <c r="C90" s="78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</row>
    <row r="91" spans="1:26" ht="12.75" customHeight="1" x14ac:dyDescent="0.2">
      <c r="A91" s="78"/>
      <c r="B91" s="78"/>
      <c r="C91" s="78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</row>
    <row r="92" spans="1:26" ht="12.75" customHeight="1" x14ac:dyDescent="0.2">
      <c r="A92" s="78"/>
      <c r="B92" s="78"/>
      <c r="C92" s="78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</row>
    <row r="93" spans="1:26" ht="12.75" customHeight="1" x14ac:dyDescent="0.2">
      <c r="A93" s="78"/>
      <c r="B93" s="78"/>
      <c r="C93" s="78"/>
      <c r="D93" s="78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</row>
    <row r="94" spans="1:26" ht="12.75" customHeight="1" x14ac:dyDescent="0.2">
      <c r="A94" s="78"/>
      <c r="B94" s="78"/>
      <c r="C94" s="78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</row>
    <row r="95" spans="1:26" ht="12.75" customHeight="1" x14ac:dyDescent="0.2">
      <c r="A95" s="78"/>
      <c r="B95" s="78"/>
      <c r="C95" s="78"/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</row>
    <row r="96" spans="1:26" ht="12.75" customHeight="1" x14ac:dyDescent="0.2">
      <c r="A96" s="78"/>
      <c r="B96" s="78"/>
      <c r="C96" s="78"/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</row>
    <row r="97" spans="1:26" ht="12.75" customHeight="1" x14ac:dyDescent="0.2">
      <c r="A97" s="78"/>
      <c r="B97" s="78"/>
      <c r="C97" s="78"/>
      <c r="D97" s="78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</row>
    <row r="98" spans="1:26" ht="12.75" customHeight="1" x14ac:dyDescent="0.2">
      <c r="A98" s="78"/>
      <c r="B98" s="78"/>
      <c r="C98" s="7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</row>
    <row r="99" spans="1:26" ht="12.75" customHeight="1" x14ac:dyDescent="0.2">
      <c r="A99" s="78"/>
      <c r="B99" s="78"/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</row>
    <row r="100" spans="1:26" ht="12.75" customHeight="1" x14ac:dyDescent="0.2">
      <c r="A100" s="78"/>
      <c r="B100" s="78"/>
      <c r="C100" s="7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</row>
    <row r="101" spans="1:26" ht="12.75" customHeight="1" x14ac:dyDescent="0.2">
      <c r="A101" s="78"/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</row>
    <row r="102" spans="1:26" ht="12.75" customHeight="1" x14ac:dyDescent="0.2">
      <c r="A102" s="78"/>
      <c r="B102" s="78"/>
      <c r="C102" s="7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</row>
    <row r="103" spans="1:26" ht="12.75" customHeight="1" x14ac:dyDescent="0.2">
      <c r="A103" s="78"/>
      <c r="B103" s="78"/>
      <c r="C103" s="78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</row>
    <row r="104" spans="1:26" ht="12.75" customHeight="1" x14ac:dyDescent="0.2">
      <c r="A104" s="78"/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</row>
    <row r="105" spans="1:26" ht="12.75" customHeight="1" x14ac:dyDescent="0.2">
      <c r="A105" s="78"/>
      <c r="B105" s="78"/>
      <c r="C105" s="78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</row>
    <row r="106" spans="1:26" ht="12.75" customHeight="1" x14ac:dyDescent="0.2">
      <c r="A106" s="78"/>
      <c r="B106" s="78"/>
      <c r="C106" s="78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</row>
    <row r="107" spans="1:26" ht="12.75" customHeight="1" x14ac:dyDescent="0.2">
      <c r="A107" s="78"/>
      <c r="B107" s="78"/>
      <c r="C107" s="7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</row>
    <row r="108" spans="1:26" ht="12.75" customHeight="1" x14ac:dyDescent="0.2">
      <c r="A108" s="78"/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</row>
    <row r="109" spans="1:26" ht="12.75" customHeight="1" x14ac:dyDescent="0.2">
      <c r="A109" s="78"/>
      <c r="B109" s="78"/>
      <c r="C109" s="78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</row>
    <row r="110" spans="1:26" ht="12.75" customHeight="1" x14ac:dyDescent="0.2">
      <c r="A110" s="78"/>
      <c r="B110" s="78"/>
      <c r="C110" s="78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</row>
    <row r="111" spans="1:26" ht="12.75" customHeight="1" x14ac:dyDescent="0.2">
      <c r="A111" s="78"/>
      <c r="B111" s="78"/>
      <c r="C111" s="7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</row>
    <row r="112" spans="1:26" ht="12.75" customHeight="1" x14ac:dyDescent="0.2">
      <c r="A112" s="78"/>
      <c r="B112" s="78"/>
      <c r="C112" s="78"/>
      <c r="D112" s="78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</row>
    <row r="113" spans="1:26" ht="12.75" customHeight="1" x14ac:dyDescent="0.2">
      <c r="A113" s="78"/>
      <c r="B113" s="78"/>
      <c r="C113" s="78"/>
      <c r="D113" s="78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</row>
    <row r="114" spans="1:26" ht="12.75" customHeight="1" x14ac:dyDescent="0.2">
      <c r="A114" s="78"/>
      <c r="B114" s="78"/>
      <c r="C114" s="78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</row>
    <row r="115" spans="1:26" ht="12.75" customHeight="1" x14ac:dyDescent="0.2">
      <c r="A115" s="78"/>
      <c r="B115" s="78"/>
      <c r="C115" s="78"/>
      <c r="D115" s="78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</row>
    <row r="116" spans="1:26" ht="12.75" customHeight="1" x14ac:dyDescent="0.2">
      <c r="A116" s="78"/>
      <c r="B116" s="78"/>
      <c r="C116" s="78"/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</row>
    <row r="117" spans="1:26" ht="12.75" customHeight="1" x14ac:dyDescent="0.2">
      <c r="A117" s="78"/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</row>
    <row r="118" spans="1:26" ht="12.75" customHeight="1" x14ac:dyDescent="0.2">
      <c r="A118" s="78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</row>
    <row r="119" spans="1:26" ht="12.75" customHeight="1" x14ac:dyDescent="0.2">
      <c r="A119" s="78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</row>
    <row r="120" spans="1:26" ht="12.75" customHeight="1" x14ac:dyDescent="0.2">
      <c r="A120" s="78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</row>
    <row r="121" spans="1:26" ht="12.75" customHeight="1" x14ac:dyDescent="0.2">
      <c r="A121" s="78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</row>
    <row r="122" spans="1:26" ht="12.75" customHeight="1" x14ac:dyDescent="0.2">
      <c r="A122" s="78"/>
      <c r="B122" s="78"/>
      <c r="C122" s="78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</row>
    <row r="123" spans="1:26" ht="12.75" customHeight="1" x14ac:dyDescent="0.2">
      <c r="A123" s="78"/>
      <c r="B123" s="78"/>
      <c r="C123" s="78"/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</row>
    <row r="124" spans="1:26" ht="12.75" customHeight="1" x14ac:dyDescent="0.2">
      <c r="A124" s="78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</row>
    <row r="125" spans="1:26" ht="12.75" customHeight="1" x14ac:dyDescent="0.2">
      <c r="A125" s="78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</row>
    <row r="126" spans="1:26" ht="12.75" customHeight="1" x14ac:dyDescent="0.2">
      <c r="A126" s="78"/>
      <c r="B126" s="78"/>
      <c r="C126" s="78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</row>
    <row r="127" spans="1:26" ht="12.75" customHeight="1" x14ac:dyDescent="0.2">
      <c r="A127" s="78"/>
      <c r="B127" s="78"/>
      <c r="C127" s="78"/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</row>
    <row r="128" spans="1:26" ht="12.75" customHeight="1" x14ac:dyDescent="0.2">
      <c r="A128" s="78"/>
      <c r="B128" s="78"/>
      <c r="C128" s="78"/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</row>
    <row r="129" spans="1:26" ht="12.75" customHeight="1" x14ac:dyDescent="0.2">
      <c r="A129" s="78"/>
      <c r="B129" s="78"/>
      <c r="C129" s="78"/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</row>
    <row r="130" spans="1:26" ht="12.75" customHeight="1" x14ac:dyDescent="0.2">
      <c r="A130" s="78"/>
      <c r="B130" s="78"/>
      <c r="C130" s="78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</row>
    <row r="131" spans="1:26" ht="12.75" customHeight="1" x14ac:dyDescent="0.2">
      <c r="A131" s="78"/>
      <c r="B131" s="78"/>
      <c r="C131" s="78"/>
      <c r="D131" s="78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</row>
    <row r="132" spans="1:26" ht="12.75" customHeight="1" x14ac:dyDescent="0.2">
      <c r="A132" s="78"/>
      <c r="B132" s="78"/>
      <c r="C132" s="78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</row>
    <row r="133" spans="1:26" ht="12.75" customHeight="1" x14ac:dyDescent="0.2">
      <c r="A133" s="78"/>
      <c r="B133" s="78"/>
      <c r="C133" s="78"/>
      <c r="D133" s="78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</row>
    <row r="134" spans="1:26" ht="12.75" customHeight="1" x14ac:dyDescent="0.2">
      <c r="A134" s="78"/>
      <c r="B134" s="78"/>
      <c r="C134" s="78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</row>
    <row r="135" spans="1:26" ht="12.75" customHeight="1" x14ac:dyDescent="0.2">
      <c r="A135" s="78"/>
      <c r="B135" s="78"/>
      <c r="C135" s="78"/>
      <c r="D135" s="78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</row>
    <row r="136" spans="1:26" ht="12.75" customHeight="1" x14ac:dyDescent="0.2">
      <c r="A136" s="78"/>
      <c r="B136" s="78"/>
      <c r="C136" s="78"/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</row>
    <row r="137" spans="1:26" ht="12.75" customHeight="1" x14ac:dyDescent="0.2">
      <c r="A137" s="78"/>
      <c r="B137" s="78"/>
      <c r="C137" s="78"/>
      <c r="D137" s="78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</row>
    <row r="138" spans="1:26" ht="12.75" customHeight="1" x14ac:dyDescent="0.2">
      <c r="A138" s="78"/>
      <c r="B138" s="78"/>
      <c r="C138" s="78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</row>
    <row r="139" spans="1:26" ht="12.75" customHeight="1" x14ac:dyDescent="0.2">
      <c r="A139" s="78"/>
      <c r="B139" s="78"/>
      <c r="C139" s="78"/>
      <c r="D139" s="78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</row>
    <row r="140" spans="1:26" ht="12.75" customHeight="1" x14ac:dyDescent="0.2">
      <c r="A140" s="78"/>
      <c r="B140" s="78"/>
      <c r="C140" s="78"/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</row>
    <row r="141" spans="1:26" ht="12.75" customHeight="1" x14ac:dyDescent="0.2">
      <c r="A141" s="78"/>
      <c r="B141" s="78"/>
      <c r="C141" s="78"/>
      <c r="D141" s="78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</row>
    <row r="142" spans="1:26" ht="12.75" customHeight="1" x14ac:dyDescent="0.2">
      <c r="A142" s="78"/>
      <c r="B142" s="78"/>
      <c r="C142" s="78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</row>
    <row r="143" spans="1:26" ht="12.75" customHeight="1" x14ac:dyDescent="0.2">
      <c r="A143" s="78"/>
      <c r="B143" s="78"/>
      <c r="C143" s="78"/>
      <c r="D143" s="78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</row>
    <row r="144" spans="1:26" ht="12.75" customHeight="1" x14ac:dyDescent="0.2">
      <c r="A144" s="78"/>
      <c r="B144" s="78"/>
      <c r="C144" s="78"/>
      <c r="D144" s="78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</row>
    <row r="145" spans="1:26" ht="12.75" customHeight="1" x14ac:dyDescent="0.2">
      <c r="A145" s="78"/>
      <c r="B145" s="78"/>
      <c r="C145" s="78"/>
      <c r="D145" s="78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</row>
    <row r="146" spans="1:26" ht="12.75" customHeight="1" x14ac:dyDescent="0.2">
      <c r="A146" s="78"/>
      <c r="B146" s="78"/>
      <c r="C146" s="78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</row>
    <row r="147" spans="1:26" ht="12.75" customHeight="1" x14ac:dyDescent="0.2">
      <c r="A147" s="78"/>
      <c r="B147" s="78"/>
      <c r="C147" s="78"/>
      <c r="D147" s="78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</row>
    <row r="148" spans="1:26" ht="12.75" customHeight="1" x14ac:dyDescent="0.2">
      <c r="A148" s="78"/>
      <c r="B148" s="78"/>
      <c r="C148" s="78"/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</row>
    <row r="149" spans="1:26" ht="12.75" customHeight="1" x14ac:dyDescent="0.2">
      <c r="A149" s="78"/>
      <c r="B149" s="78"/>
      <c r="C149" s="78"/>
      <c r="D149" s="78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</row>
    <row r="150" spans="1:26" ht="12.75" customHeight="1" x14ac:dyDescent="0.2">
      <c r="A150" s="78"/>
      <c r="B150" s="78"/>
      <c r="C150" s="78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</row>
    <row r="151" spans="1:26" ht="12.75" customHeight="1" x14ac:dyDescent="0.2">
      <c r="A151" s="78"/>
      <c r="B151" s="78"/>
      <c r="C151" s="78"/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</row>
    <row r="152" spans="1:26" ht="12.75" customHeight="1" x14ac:dyDescent="0.2">
      <c r="A152" s="78"/>
      <c r="B152" s="78"/>
      <c r="C152" s="78"/>
      <c r="D152" s="78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</row>
    <row r="153" spans="1:26" ht="12.75" customHeight="1" x14ac:dyDescent="0.2">
      <c r="A153" s="78"/>
      <c r="B153" s="78"/>
      <c r="C153" s="78"/>
      <c r="D153" s="78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</row>
    <row r="154" spans="1:26" ht="12.75" customHeight="1" x14ac:dyDescent="0.2">
      <c r="A154" s="78"/>
      <c r="B154" s="78"/>
      <c r="C154" s="78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</row>
    <row r="155" spans="1:26" ht="12.75" customHeight="1" x14ac:dyDescent="0.2">
      <c r="A155" s="78"/>
      <c r="B155" s="78"/>
      <c r="C155" s="78"/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</row>
    <row r="156" spans="1:26" ht="12.75" customHeight="1" x14ac:dyDescent="0.2">
      <c r="A156" s="78"/>
      <c r="B156" s="78"/>
      <c r="C156" s="78"/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</row>
    <row r="157" spans="1:26" ht="12.75" customHeight="1" x14ac:dyDescent="0.2">
      <c r="A157" s="78"/>
      <c r="B157" s="78"/>
      <c r="C157" s="78"/>
      <c r="D157" s="78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</row>
    <row r="158" spans="1:26" ht="12.75" customHeight="1" x14ac:dyDescent="0.2">
      <c r="A158" s="78"/>
      <c r="B158" s="78"/>
      <c r="C158" s="78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</row>
    <row r="159" spans="1:26" ht="12.75" customHeight="1" x14ac:dyDescent="0.2">
      <c r="A159" s="78"/>
      <c r="B159" s="78"/>
      <c r="C159" s="78"/>
      <c r="D159" s="78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</row>
    <row r="160" spans="1:26" ht="12.75" customHeight="1" x14ac:dyDescent="0.2">
      <c r="A160" s="78"/>
      <c r="B160" s="78"/>
      <c r="C160" s="78"/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</row>
    <row r="161" spans="1:26" ht="12.75" customHeight="1" x14ac:dyDescent="0.2">
      <c r="A161" s="78"/>
      <c r="B161" s="78"/>
      <c r="C161" s="78"/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</row>
    <row r="162" spans="1:26" ht="12.75" customHeight="1" x14ac:dyDescent="0.2">
      <c r="A162" s="78"/>
      <c r="B162" s="78"/>
      <c r="C162" s="78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</row>
    <row r="163" spans="1:26" ht="12.75" customHeight="1" x14ac:dyDescent="0.2">
      <c r="A163" s="78"/>
      <c r="B163" s="78"/>
      <c r="C163" s="78"/>
      <c r="D163" s="78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</row>
    <row r="164" spans="1:26" ht="12.75" customHeight="1" x14ac:dyDescent="0.2">
      <c r="A164" s="78"/>
      <c r="B164" s="78"/>
      <c r="C164" s="78"/>
      <c r="D164" s="78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</row>
    <row r="165" spans="1:26" ht="12.75" customHeight="1" x14ac:dyDescent="0.2">
      <c r="A165" s="78"/>
      <c r="B165" s="78"/>
      <c r="C165" s="78"/>
      <c r="D165" s="78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</row>
    <row r="166" spans="1:26" ht="12.75" customHeight="1" x14ac:dyDescent="0.2">
      <c r="A166" s="78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</row>
    <row r="167" spans="1:26" ht="12.75" customHeight="1" x14ac:dyDescent="0.2">
      <c r="A167" s="78"/>
      <c r="B167" s="78"/>
      <c r="C167" s="78"/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</row>
    <row r="168" spans="1:26" ht="12.75" customHeight="1" x14ac:dyDescent="0.2">
      <c r="A168" s="78"/>
      <c r="B168" s="78"/>
      <c r="C168" s="78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</row>
    <row r="169" spans="1:26" ht="12.75" customHeight="1" x14ac:dyDescent="0.2">
      <c r="A169" s="78"/>
      <c r="B169" s="78"/>
      <c r="C169" s="78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</row>
    <row r="170" spans="1:26" ht="12.75" customHeight="1" x14ac:dyDescent="0.2">
      <c r="A170" s="78"/>
      <c r="B170" s="78"/>
      <c r="C170" s="78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</row>
    <row r="171" spans="1:26" ht="12.75" customHeight="1" x14ac:dyDescent="0.2">
      <c r="A171" s="78"/>
      <c r="B171" s="78"/>
      <c r="C171" s="78"/>
      <c r="D171" s="78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</row>
    <row r="172" spans="1:26" ht="12.75" customHeight="1" x14ac:dyDescent="0.2">
      <c r="A172" s="78"/>
      <c r="B172" s="78"/>
      <c r="C172" s="78"/>
      <c r="D172" s="78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</row>
    <row r="173" spans="1:26" ht="12.75" customHeight="1" x14ac:dyDescent="0.2">
      <c r="A173" s="78"/>
      <c r="B173" s="78"/>
      <c r="C173" s="78"/>
      <c r="D173" s="78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</row>
    <row r="174" spans="1:26" ht="12.75" customHeight="1" x14ac:dyDescent="0.2">
      <c r="A174" s="78"/>
      <c r="B174" s="78"/>
      <c r="C174" s="7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</row>
    <row r="175" spans="1:26" ht="12.75" customHeight="1" x14ac:dyDescent="0.2">
      <c r="A175" s="78"/>
      <c r="B175" s="78"/>
      <c r="C175" s="78"/>
      <c r="D175" s="78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</row>
    <row r="176" spans="1:26" ht="12.75" customHeight="1" x14ac:dyDescent="0.2">
      <c r="A176" s="78"/>
      <c r="B176" s="78"/>
      <c r="C176" s="78"/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</row>
    <row r="177" spans="1:26" ht="12.75" customHeight="1" x14ac:dyDescent="0.2">
      <c r="A177" s="78"/>
      <c r="B177" s="78"/>
      <c r="C177" s="78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</row>
    <row r="178" spans="1:26" ht="12.75" customHeight="1" x14ac:dyDescent="0.2">
      <c r="A178" s="78"/>
      <c r="B178" s="78"/>
      <c r="C178" s="78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</row>
    <row r="179" spans="1:26" ht="12.75" customHeight="1" x14ac:dyDescent="0.2">
      <c r="A179" s="78"/>
      <c r="B179" s="78"/>
      <c r="C179" s="78"/>
      <c r="D179" s="78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</row>
    <row r="180" spans="1:26" ht="12.75" customHeight="1" x14ac:dyDescent="0.2">
      <c r="A180" s="78"/>
      <c r="B180" s="78"/>
      <c r="C180" s="78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</row>
    <row r="181" spans="1:26" ht="12.75" customHeight="1" x14ac:dyDescent="0.2">
      <c r="A181" s="78"/>
      <c r="B181" s="78"/>
      <c r="C181" s="78"/>
      <c r="D181" s="78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</row>
    <row r="182" spans="1:26" ht="12.75" customHeight="1" x14ac:dyDescent="0.2">
      <c r="A182" s="78"/>
      <c r="B182" s="78"/>
      <c r="C182" s="78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</row>
    <row r="183" spans="1:26" ht="12.75" customHeight="1" x14ac:dyDescent="0.2">
      <c r="A183" s="78"/>
      <c r="B183" s="78"/>
      <c r="C183" s="78"/>
      <c r="D183" s="78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</row>
    <row r="184" spans="1:26" ht="12.75" customHeight="1" x14ac:dyDescent="0.2">
      <c r="A184" s="78"/>
      <c r="B184" s="78"/>
      <c r="C184" s="78"/>
      <c r="D184" s="78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</row>
    <row r="185" spans="1:26" ht="12.75" customHeight="1" x14ac:dyDescent="0.2">
      <c r="A185" s="78"/>
      <c r="B185" s="78"/>
      <c r="C185" s="78"/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</row>
    <row r="186" spans="1:26" ht="12.75" customHeight="1" x14ac:dyDescent="0.2">
      <c r="A186" s="78"/>
      <c r="B186" s="78"/>
      <c r="C186" s="78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</row>
    <row r="187" spans="1:26" ht="12.75" customHeight="1" x14ac:dyDescent="0.2">
      <c r="A187" s="78"/>
      <c r="B187" s="78"/>
      <c r="C187" s="78"/>
      <c r="D187" s="78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</row>
    <row r="188" spans="1:26" ht="12.75" customHeight="1" x14ac:dyDescent="0.2">
      <c r="A188" s="78"/>
      <c r="B188" s="78"/>
      <c r="C188" s="78"/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</row>
    <row r="189" spans="1:26" ht="12.75" customHeight="1" x14ac:dyDescent="0.2">
      <c r="A189" s="78"/>
      <c r="B189" s="78"/>
      <c r="C189" s="78"/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</row>
    <row r="190" spans="1:26" ht="12.75" customHeight="1" x14ac:dyDescent="0.2">
      <c r="A190" s="78"/>
      <c r="B190" s="78"/>
      <c r="C190" s="78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</row>
    <row r="191" spans="1:26" ht="12.75" customHeight="1" x14ac:dyDescent="0.2">
      <c r="A191" s="78"/>
      <c r="B191" s="78"/>
      <c r="C191" s="78"/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</row>
    <row r="192" spans="1:26" ht="12.75" customHeight="1" x14ac:dyDescent="0.2">
      <c r="A192" s="78"/>
      <c r="B192" s="78"/>
      <c r="C192" s="78"/>
      <c r="D192" s="78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</row>
    <row r="193" spans="1:26" ht="12.75" customHeight="1" x14ac:dyDescent="0.2">
      <c r="A193" s="78"/>
      <c r="B193" s="78"/>
      <c r="C193" s="78"/>
      <c r="D193" s="78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</row>
    <row r="194" spans="1:26" ht="12.75" customHeight="1" x14ac:dyDescent="0.2">
      <c r="A194" s="78"/>
      <c r="B194" s="78"/>
      <c r="C194" s="78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</row>
    <row r="195" spans="1:26" ht="12.75" customHeight="1" x14ac:dyDescent="0.2">
      <c r="A195" s="78"/>
      <c r="B195" s="78"/>
      <c r="C195" s="78"/>
      <c r="D195" s="78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</row>
    <row r="196" spans="1:26" ht="12.75" customHeight="1" x14ac:dyDescent="0.2">
      <c r="A196" s="78"/>
      <c r="B196" s="78"/>
      <c r="C196" s="78"/>
      <c r="D196" s="78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</row>
    <row r="197" spans="1:26" ht="12.75" customHeight="1" x14ac:dyDescent="0.2">
      <c r="A197" s="78"/>
      <c r="B197" s="78"/>
      <c r="C197" s="78"/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</row>
    <row r="198" spans="1:26" ht="12.75" customHeight="1" x14ac:dyDescent="0.2">
      <c r="A198" s="78"/>
      <c r="B198" s="78"/>
      <c r="C198" s="78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</row>
    <row r="199" spans="1:26" ht="12.75" customHeight="1" x14ac:dyDescent="0.2">
      <c r="A199" s="78"/>
      <c r="B199" s="78"/>
      <c r="C199" s="78"/>
      <c r="D199" s="78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</row>
    <row r="200" spans="1:26" ht="12.75" customHeight="1" x14ac:dyDescent="0.2">
      <c r="A200" s="78"/>
      <c r="B200" s="78"/>
      <c r="C200" s="78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</row>
    <row r="201" spans="1:26" ht="12.75" customHeight="1" x14ac:dyDescent="0.2">
      <c r="A201" s="78"/>
      <c r="B201" s="78"/>
      <c r="C201" s="78"/>
      <c r="D201" s="78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</row>
    <row r="202" spans="1:26" ht="12.75" customHeight="1" x14ac:dyDescent="0.2">
      <c r="A202" s="78"/>
      <c r="B202" s="78"/>
      <c r="C202" s="78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</row>
    <row r="203" spans="1:26" ht="12.75" customHeight="1" x14ac:dyDescent="0.2">
      <c r="A203" s="78"/>
      <c r="B203" s="78"/>
      <c r="C203" s="78"/>
      <c r="D203" s="78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</row>
    <row r="204" spans="1:26" ht="12.75" customHeight="1" x14ac:dyDescent="0.2">
      <c r="A204" s="78"/>
      <c r="B204" s="78"/>
      <c r="C204" s="78"/>
      <c r="D204" s="78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</row>
    <row r="205" spans="1:26" ht="12.75" customHeight="1" x14ac:dyDescent="0.2">
      <c r="A205" s="78"/>
      <c r="B205" s="78"/>
      <c r="C205" s="78"/>
      <c r="D205" s="78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</row>
    <row r="206" spans="1:26" ht="12.75" customHeight="1" x14ac:dyDescent="0.2">
      <c r="A206" s="78"/>
      <c r="B206" s="78"/>
      <c r="C206" s="78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</row>
    <row r="207" spans="1:26" ht="12.75" customHeight="1" x14ac:dyDescent="0.2">
      <c r="A207" s="78"/>
      <c r="B207" s="78"/>
      <c r="C207" s="78"/>
      <c r="D207" s="78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</row>
    <row r="208" spans="1:26" ht="12.75" customHeight="1" x14ac:dyDescent="0.2">
      <c r="A208" s="78"/>
      <c r="B208" s="78"/>
      <c r="C208" s="78"/>
      <c r="D208" s="78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</row>
    <row r="209" spans="1:26" ht="12.75" customHeight="1" x14ac:dyDescent="0.2">
      <c r="A209" s="78"/>
      <c r="B209" s="78"/>
      <c r="C209" s="78"/>
      <c r="D209" s="78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</row>
    <row r="210" spans="1:26" ht="12.75" customHeight="1" x14ac:dyDescent="0.2">
      <c r="A210" s="78"/>
      <c r="B210" s="78"/>
      <c r="C210" s="78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</row>
    <row r="211" spans="1:26" ht="12.75" customHeight="1" x14ac:dyDescent="0.2">
      <c r="A211" s="78"/>
      <c r="B211" s="78"/>
      <c r="C211" s="78"/>
      <c r="D211" s="78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</row>
    <row r="212" spans="1:26" ht="12.75" customHeight="1" x14ac:dyDescent="0.2">
      <c r="A212" s="78"/>
      <c r="B212" s="78"/>
      <c r="C212" s="78"/>
      <c r="D212" s="78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</row>
    <row r="213" spans="1:26" ht="12.75" customHeight="1" x14ac:dyDescent="0.2">
      <c r="A213" s="78"/>
      <c r="B213" s="78"/>
      <c r="C213" s="78"/>
      <c r="D213" s="78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</row>
    <row r="214" spans="1:26" ht="12.75" customHeight="1" x14ac:dyDescent="0.2">
      <c r="A214" s="78"/>
      <c r="B214" s="78"/>
      <c r="C214" s="78"/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</row>
    <row r="215" spans="1:26" ht="12.75" customHeight="1" x14ac:dyDescent="0.2">
      <c r="A215" s="78"/>
      <c r="B215" s="78"/>
      <c r="C215" s="78"/>
      <c r="D215" s="78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</row>
    <row r="216" spans="1:26" ht="12.75" customHeight="1" x14ac:dyDescent="0.2">
      <c r="A216" s="78"/>
      <c r="B216" s="78"/>
      <c r="C216" s="78"/>
      <c r="D216" s="78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</row>
    <row r="217" spans="1:26" ht="12.75" customHeight="1" x14ac:dyDescent="0.2">
      <c r="A217" s="78"/>
      <c r="B217" s="78"/>
      <c r="C217" s="78"/>
      <c r="D217" s="78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</row>
    <row r="218" spans="1:26" ht="12.75" customHeight="1" x14ac:dyDescent="0.2">
      <c r="A218" s="78"/>
      <c r="B218" s="78"/>
      <c r="C218" s="78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</row>
    <row r="219" spans="1:26" ht="12.75" customHeight="1" x14ac:dyDescent="0.2">
      <c r="A219" s="78"/>
      <c r="B219" s="78"/>
      <c r="C219" s="78"/>
      <c r="D219" s="78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</row>
    <row r="220" spans="1:26" ht="12.75" customHeight="1" x14ac:dyDescent="0.2">
      <c r="A220" s="78"/>
      <c r="B220" s="78"/>
      <c r="C220" s="78"/>
      <c r="D220" s="78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</row>
    <row r="221" spans="1:26" ht="12.75" customHeight="1" x14ac:dyDescent="0.2">
      <c r="A221" s="78"/>
      <c r="B221" s="78"/>
      <c r="C221" s="78"/>
      <c r="D221" s="78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</row>
    <row r="222" spans="1:26" ht="12.75" customHeight="1" x14ac:dyDescent="0.2">
      <c r="A222" s="78"/>
      <c r="B222" s="78"/>
      <c r="C222" s="78"/>
      <c r="D222" s="78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  <c r="Z222" s="78"/>
    </row>
    <row r="223" spans="1:26" ht="12.75" customHeight="1" x14ac:dyDescent="0.2">
      <c r="A223" s="78"/>
      <c r="B223" s="78"/>
      <c r="C223" s="78"/>
      <c r="D223" s="78"/>
      <c r="E223" s="78"/>
      <c r="F223" s="78"/>
      <c r="G223" s="78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78"/>
      <c r="W223" s="78"/>
      <c r="X223" s="78"/>
      <c r="Y223" s="78"/>
      <c r="Z223" s="78"/>
    </row>
    <row r="224" spans="1:26" ht="12.75" customHeight="1" x14ac:dyDescent="0.2">
      <c r="A224" s="78"/>
      <c r="B224" s="78"/>
      <c r="C224" s="78"/>
      <c r="D224" s="78"/>
      <c r="E224" s="78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</row>
    <row r="225" spans="1:26" ht="12.75" customHeight="1" x14ac:dyDescent="0.2">
      <c r="A225" s="78"/>
      <c r="B225" s="78"/>
      <c r="C225" s="78"/>
      <c r="D225" s="78"/>
      <c r="E225" s="78"/>
      <c r="F225" s="78"/>
      <c r="G225" s="78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8"/>
      <c r="W225" s="78"/>
      <c r="X225" s="78"/>
      <c r="Y225" s="78"/>
      <c r="Z225" s="78"/>
    </row>
    <row r="226" spans="1:26" ht="12.75" customHeight="1" x14ac:dyDescent="0.2">
      <c r="A226" s="78"/>
      <c r="B226" s="78"/>
      <c r="C226" s="78"/>
      <c r="D226" s="78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8"/>
      <c r="W226" s="78"/>
      <c r="X226" s="78"/>
      <c r="Y226" s="78"/>
      <c r="Z226" s="78"/>
    </row>
    <row r="227" spans="1:26" ht="12.75" customHeight="1" x14ac:dyDescent="0.2">
      <c r="A227" s="78"/>
      <c r="B227" s="78"/>
      <c r="C227" s="78"/>
      <c r="D227" s="78"/>
      <c r="E227" s="78"/>
      <c r="F227" s="78"/>
      <c r="G227" s="78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8"/>
      <c r="Z227" s="78"/>
    </row>
    <row r="228" spans="1:26" ht="12.75" customHeight="1" x14ac:dyDescent="0.2">
      <c r="A228" s="78"/>
      <c r="B228" s="78"/>
      <c r="C228" s="78"/>
      <c r="D228" s="78"/>
      <c r="E228" s="78"/>
      <c r="F228" s="78"/>
      <c r="G228" s="78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78"/>
      <c r="V228" s="78"/>
      <c r="W228" s="78"/>
      <c r="X228" s="78"/>
      <c r="Y228" s="78"/>
      <c r="Z228" s="78"/>
    </row>
    <row r="229" spans="1:26" ht="12.75" customHeight="1" x14ac:dyDescent="0.2">
      <c r="A229" s="78"/>
      <c r="B229" s="78"/>
      <c r="C229" s="78"/>
      <c r="D229" s="78"/>
      <c r="E229" s="78"/>
      <c r="F229" s="78"/>
      <c r="G229" s="78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  <c r="Z229" s="78"/>
    </row>
    <row r="230" spans="1:26" ht="12.75" customHeight="1" x14ac:dyDescent="0.2">
      <c r="A230" s="78"/>
      <c r="B230" s="78"/>
      <c r="C230" s="78"/>
      <c r="D230" s="78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78"/>
      <c r="V230" s="78"/>
      <c r="W230" s="78"/>
      <c r="X230" s="78"/>
      <c r="Y230" s="78"/>
      <c r="Z230" s="78"/>
    </row>
    <row r="231" spans="1:26" ht="12.75" customHeight="1" x14ac:dyDescent="0.2">
      <c r="A231" s="78"/>
      <c r="B231" s="78"/>
      <c r="C231" s="78"/>
      <c r="D231" s="78"/>
      <c r="E231" s="78"/>
      <c r="F231" s="78"/>
      <c r="G231" s="78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8"/>
      <c r="Z231" s="78"/>
    </row>
    <row r="232" spans="1:26" ht="12.75" customHeight="1" x14ac:dyDescent="0.2">
      <c r="A232" s="78"/>
      <c r="B232" s="78"/>
      <c r="C232" s="78"/>
      <c r="D232" s="78"/>
      <c r="E232" s="78"/>
      <c r="F232" s="78"/>
      <c r="G232" s="78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  <c r="Z232" s="78"/>
    </row>
    <row r="233" spans="1:26" ht="12.75" customHeight="1" x14ac:dyDescent="0.2">
      <c r="A233" s="78"/>
      <c r="B233" s="78"/>
      <c r="C233" s="78"/>
      <c r="D233" s="78"/>
      <c r="E233" s="78"/>
      <c r="F233" s="78"/>
      <c r="G233" s="78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8"/>
      <c r="Z233" s="78"/>
    </row>
    <row r="234" spans="1:26" ht="12.75" customHeight="1" x14ac:dyDescent="0.2">
      <c r="A234" s="78"/>
      <c r="B234" s="78"/>
      <c r="C234" s="78"/>
      <c r="D234" s="78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78"/>
      <c r="V234" s="78"/>
      <c r="W234" s="78"/>
      <c r="X234" s="78"/>
      <c r="Y234" s="78"/>
      <c r="Z234" s="78"/>
    </row>
    <row r="235" spans="1:26" ht="12.75" customHeight="1" x14ac:dyDescent="0.2">
      <c r="A235" s="78"/>
      <c r="B235" s="78"/>
      <c r="C235" s="78"/>
      <c r="D235" s="78"/>
      <c r="E235" s="78"/>
      <c r="F235" s="78"/>
      <c r="G235" s="78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78"/>
      <c r="V235" s="78"/>
      <c r="W235" s="78"/>
      <c r="X235" s="78"/>
      <c r="Y235" s="78"/>
      <c r="Z235" s="78"/>
    </row>
    <row r="236" spans="1:26" ht="12.75" customHeight="1" x14ac:dyDescent="0.2">
      <c r="A236" s="78"/>
      <c r="B236" s="78"/>
      <c r="C236" s="78"/>
      <c r="D236" s="78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</row>
    <row r="237" spans="1:26" ht="12.75" customHeight="1" x14ac:dyDescent="0.2">
      <c r="A237" s="78"/>
      <c r="B237" s="78"/>
      <c r="C237" s="78"/>
      <c r="D237" s="78"/>
      <c r="E237" s="78"/>
      <c r="F237" s="78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  <c r="Z237" s="78"/>
    </row>
    <row r="238" spans="1:26" ht="12.75" customHeight="1" x14ac:dyDescent="0.2">
      <c r="A238" s="78"/>
      <c r="B238" s="78"/>
      <c r="C238" s="78"/>
      <c r="D238" s="78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  <c r="Z238" s="78"/>
    </row>
    <row r="239" spans="1:26" ht="12.75" customHeight="1" x14ac:dyDescent="0.2">
      <c r="A239" s="78"/>
      <c r="B239" s="78"/>
      <c r="C239" s="78"/>
      <c r="D239" s="78"/>
      <c r="E239" s="78"/>
      <c r="F239" s="78"/>
      <c r="G239" s="78"/>
      <c r="H239" s="78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78"/>
      <c r="V239" s="78"/>
      <c r="W239" s="78"/>
      <c r="X239" s="78"/>
      <c r="Y239" s="78"/>
      <c r="Z239" s="78"/>
    </row>
    <row r="240" spans="1:26" ht="12.75" customHeight="1" x14ac:dyDescent="0.2">
      <c r="A240" s="78"/>
      <c r="B240" s="78"/>
      <c r="C240" s="78"/>
      <c r="D240" s="78"/>
      <c r="E240" s="78"/>
      <c r="F240" s="78"/>
      <c r="G240" s="78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  <c r="V240" s="78"/>
      <c r="W240" s="78"/>
      <c r="X240" s="78"/>
      <c r="Y240" s="78"/>
      <c r="Z240" s="78"/>
    </row>
    <row r="241" spans="1:26" ht="12.75" customHeight="1" x14ac:dyDescent="0.2">
      <c r="A241" s="78"/>
      <c r="B241" s="78"/>
      <c r="C241" s="78"/>
      <c r="D241" s="78"/>
      <c r="E241" s="78"/>
      <c r="F241" s="78"/>
      <c r="G241" s="78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  <c r="V241" s="78"/>
      <c r="W241" s="78"/>
      <c r="X241" s="78"/>
      <c r="Y241" s="78"/>
      <c r="Z241" s="78"/>
    </row>
    <row r="242" spans="1:26" ht="12.75" customHeight="1" x14ac:dyDescent="0.2">
      <c r="A242" s="78"/>
      <c r="B242" s="78"/>
      <c r="C242" s="78"/>
      <c r="D242" s="78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78"/>
      <c r="W242" s="78"/>
      <c r="X242" s="78"/>
      <c r="Y242" s="78"/>
      <c r="Z242" s="78"/>
    </row>
    <row r="243" spans="1:26" ht="12.75" customHeight="1" x14ac:dyDescent="0.2">
      <c r="A243" s="78"/>
      <c r="B243" s="78"/>
      <c r="C243" s="78"/>
      <c r="D243" s="78"/>
      <c r="E243" s="78"/>
      <c r="F243" s="78"/>
      <c r="G243" s="78"/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78"/>
    </row>
    <row r="244" spans="1:26" ht="12.75" customHeight="1" x14ac:dyDescent="0.2">
      <c r="A244" s="78"/>
      <c r="B244" s="78"/>
      <c r="C244" s="78"/>
      <c r="D244" s="78"/>
      <c r="E244" s="78"/>
      <c r="F244" s="78"/>
      <c r="G244" s="78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  <c r="V244" s="78"/>
      <c r="W244" s="78"/>
      <c r="X244" s="78"/>
      <c r="Y244" s="78"/>
      <c r="Z244" s="78"/>
    </row>
    <row r="245" spans="1:26" ht="12.75" customHeight="1" x14ac:dyDescent="0.2">
      <c r="A245" s="78"/>
      <c r="B245" s="78"/>
      <c r="C245" s="78"/>
      <c r="D245" s="78"/>
      <c r="E245" s="78"/>
      <c r="F245" s="78"/>
      <c r="G245" s="78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  <c r="W245" s="78"/>
      <c r="X245" s="78"/>
      <c r="Y245" s="78"/>
      <c r="Z245" s="78"/>
    </row>
    <row r="246" spans="1:26" ht="12.75" customHeight="1" x14ac:dyDescent="0.2">
      <c r="A246" s="78"/>
      <c r="B246" s="78"/>
      <c r="C246" s="78"/>
      <c r="D246" s="78"/>
      <c r="E246" s="78"/>
      <c r="F246" s="78"/>
      <c r="G246" s="78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  <c r="W246" s="78"/>
      <c r="X246" s="78"/>
      <c r="Y246" s="78"/>
      <c r="Z246" s="78"/>
    </row>
    <row r="247" spans="1:26" ht="12.75" customHeight="1" x14ac:dyDescent="0.2">
      <c r="A247" s="78"/>
      <c r="B247" s="78"/>
      <c r="C247" s="78"/>
      <c r="D247" s="78"/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8"/>
      <c r="Z247" s="78"/>
    </row>
    <row r="248" spans="1:26" ht="12.75" customHeight="1" x14ac:dyDescent="0.2">
      <c r="A248" s="78"/>
      <c r="B248" s="78"/>
      <c r="C248" s="78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  <c r="Z248" s="78"/>
    </row>
    <row r="249" spans="1:26" ht="12.75" customHeight="1" x14ac:dyDescent="0.2">
      <c r="A249" s="78"/>
      <c r="B249" s="78"/>
      <c r="C249" s="78"/>
      <c r="D249" s="78"/>
      <c r="E249" s="78"/>
      <c r="F249" s="78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  <c r="Z249" s="78"/>
    </row>
    <row r="250" spans="1:26" ht="12.75" customHeight="1" x14ac:dyDescent="0.2">
      <c r="A250" s="78"/>
      <c r="B250" s="78"/>
      <c r="C250" s="78"/>
      <c r="D250" s="78"/>
      <c r="E250" s="78"/>
      <c r="F250" s="78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78"/>
      <c r="Y250" s="78"/>
      <c r="Z250" s="78"/>
    </row>
    <row r="251" spans="1:26" ht="12.75" customHeight="1" x14ac:dyDescent="0.2">
      <c r="A251" s="78"/>
      <c r="B251" s="78"/>
      <c r="C251" s="78"/>
      <c r="D251" s="78"/>
      <c r="E251" s="78"/>
      <c r="F251" s="78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  <c r="Z251" s="78"/>
    </row>
    <row r="252" spans="1:26" ht="12.75" customHeight="1" x14ac:dyDescent="0.2">
      <c r="A252" s="78"/>
      <c r="B252" s="78"/>
      <c r="C252" s="78"/>
      <c r="D252" s="78"/>
      <c r="E252" s="78"/>
      <c r="F252" s="78"/>
      <c r="G252" s="78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  <c r="W252" s="78"/>
      <c r="X252" s="78"/>
      <c r="Y252" s="78"/>
      <c r="Z252" s="78"/>
    </row>
    <row r="253" spans="1:26" ht="12.75" customHeight="1" x14ac:dyDescent="0.2">
      <c r="A253" s="78"/>
      <c r="B253" s="78"/>
      <c r="C253" s="78"/>
      <c r="D253" s="78"/>
      <c r="E253" s="78"/>
      <c r="F253" s="78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78"/>
      <c r="Y253" s="78"/>
      <c r="Z253" s="78"/>
    </row>
    <row r="254" spans="1:26" ht="12.75" customHeight="1" x14ac:dyDescent="0.2">
      <c r="A254" s="78"/>
      <c r="B254" s="78"/>
      <c r="C254" s="78"/>
      <c r="D254" s="78"/>
      <c r="E254" s="78"/>
      <c r="F254" s="78"/>
      <c r="G254" s="78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  <c r="X254" s="78"/>
      <c r="Y254" s="78"/>
      <c r="Z254" s="78"/>
    </row>
    <row r="255" spans="1:26" ht="12.75" customHeight="1" x14ac:dyDescent="0.2">
      <c r="A255" s="78"/>
      <c r="B255" s="78"/>
      <c r="C255" s="78"/>
      <c r="D255" s="78"/>
      <c r="E255" s="78"/>
      <c r="F255" s="78"/>
      <c r="G255" s="78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  <c r="W255" s="78"/>
      <c r="X255" s="78"/>
      <c r="Y255" s="78"/>
      <c r="Z255" s="78"/>
    </row>
    <row r="256" spans="1:26" ht="12.75" customHeight="1" x14ac:dyDescent="0.2">
      <c r="A256" s="78"/>
      <c r="B256" s="78"/>
      <c r="C256" s="78"/>
      <c r="D256" s="78"/>
      <c r="E256" s="78"/>
      <c r="F256" s="78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  <c r="Z256" s="78"/>
    </row>
    <row r="257" spans="1:26" ht="12.75" customHeight="1" x14ac:dyDescent="0.2">
      <c r="A257" s="78"/>
      <c r="B257" s="78"/>
      <c r="C257" s="78"/>
      <c r="D257" s="78"/>
      <c r="E257" s="78"/>
      <c r="F257" s="78"/>
      <c r="G257" s="78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8"/>
      <c r="Z257" s="78"/>
    </row>
    <row r="258" spans="1:26" ht="12.75" customHeight="1" x14ac:dyDescent="0.2">
      <c r="A258" s="78"/>
      <c r="B258" s="78"/>
      <c r="C258" s="78"/>
      <c r="D258" s="78"/>
      <c r="E258" s="78"/>
      <c r="F258" s="78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  <c r="Z258" s="78"/>
    </row>
    <row r="259" spans="1:26" ht="12.75" customHeight="1" x14ac:dyDescent="0.2">
      <c r="A259" s="78"/>
      <c r="B259" s="78"/>
      <c r="C259" s="78"/>
      <c r="D259" s="78"/>
      <c r="E259" s="78"/>
      <c r="F259" s="78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  <c r="Z259" s="78"/>
    </row>
    <row r="260" spans="1:26" ht="12.75" customHeight="1" x14ac:dyDescent="0.2">
      <c r="A260" s="78"/>
      <c r="B260" s="78"/>
      <c r="C260" s="78"/>
      <c r="D260" s="78"/>
      <c r="E260" s="78"/>
      <c r="F260" s="78"/>
      <c r="G260" s="78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  <c r="X260" s="78"/>
      <c r="Y260" s="78"/>
      <c r="Z260" s="78"/>
    </row>
    <row r="261" spans="1:26" ht="12.75" customHeight="1" x14ac:dyDescent="0.2">
      <c r="A261" s="78"/>
      <c r="B261" s="78"/>
      <c r="C261" s="78"/>
      <c r="D261" s="78"/>
      <c r="E261" s="78"/>
      <c r="F261" s="78"/>
      <c r="G261" s="78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  <c r="Z261" s="78"/>
    </row>
    <row r="262" spans="1:26" ht="12.75" customHeight="1" x14ac:dyDescent="0.2">
      <c r="A262" s="78"/>
      <c r="B262" s="78"/>
      <c r="C262" s="78"/>
      <c r="D262" s="78"/>
      <c r="E262" s="78"/>
      <c r="F262" s="78"/>
      <c r="G262" s="78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  <c r="X262" s="78"/>
      <c r="Y262" s="78"/>
      <c r="Z262" s="78"/>
    </row>
    <row r="263" spans="1:26" ht="12.75" customHeight="1" x14ac:dyDescent="0.2">
      <c r="A263" s="78"/>
      <c r="B263" s="78"/>
      <c r="C263" s="78"/>
      <c r="D263" s="78"/>
      <c r="E263" s="78"/>
      <c r="F263" s="78"/>
      <c r="G263" s="78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  <c r="W263" s="78"/>
      <c r="X263" s="78"/>
      <c r="Y263" s="78"/>
      <c r="Z263" s="78"/>
    </row>
    <row r="264" spans="1:26" ht="12.75" customHeight="1" x14ac:dyDescent="0.2">
      <c r="A264" s="78"/>
      <c r="B264" s="78"/>
      <c r="C264" s="78"/>
      <c r="D264" s="78"/>
      <c r="E264" s="78"/>
      <c r="F264" s="78"/>
      <c r="G264" s="78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8"/>
      <c r="Z264" s="78"/>
    </row>
    <row r="265" spans="1:26" ht="12.75" customHeight="1" x14ac:dyDescent="0.2">
      <c r="A265" s="78"/>
      <c r="B265" s="78"/>
      <c r="C265" s="78"/>
      <c r="D265" s="78"/>
      <c r="E265" s="78"/>
      <c r="F265" s="78"/>
      <c r="G265" s="78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  <c r="W265" s="78"/>
      <c r="X265" s="78"/>
      <c r="Y265" s="78"/>
      <c r="Z265" s="78"/>
    </row>
    <row r="266" spans="1:26" ht="12.75" customHeight="1" x14ac:dyDescent="0.2">
      <c r="A266" s="78"/>
      <c r="B266" s="78"/>
      <c r="C266" s="78"/>
      <c r="D266" s="78"/>
      <c r="E266" s="78"/>
      <c r="F266" s="78"/>
      <c r="G266" s="78"/>
      <c r="H266" s="78"/>
      <c r="I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8"/>
      <c r="W266" s="78"/>
      <c r="X266" s="78"/>
      <c r="Y266" s="78"/>
      <c r="Z266" s="78"/>
    </row>
    <row r="267" spans="1:26" ht="12.75" customHeight="1" x14ac:dyDescent="0.2">
      <c r="A267" s="78"/>
      <c r="B267" s="78"/>
      <c r="C267" s="78"/>
      <c r="D267" s="78"/>
      <c r="E267" s="78"/>
      <c r="F267" s="78"/>
      <c r="G267" s="78"/>
      <c r="H267" s="78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  <c r="V267" s="78"/>
      <c r="W267" s="78"/>
      <c r="X267" s="78"/>
      <c r="Y267" s="78"/>
      <c r="Z267" s="78"/>
    </row>
    <row r="268" spans="1:26" ht="12.75" customHeight="1" x14ac:dyDescent="0.2">
      <c r="A268" s="78"/>
      <c r="B268" s="78"/>
      <c r="C268" s="78"/>
      <c r="D268" s="78"/>
      <c r="E268" s="78"/>
      <c r="F268" s="78"/>
      <c r="G268" s="78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8"/>
      <c r="W268" s="78"/>
      <c r="X268" s="78"/>
      <c r="Y268" s="78"/>
      <c r="Z268" s="78"/>
    </row>
    <row r="269" spans="1:26" ht="12.75" customHeight="1" x14ac:dyDescent="0.2">
      <c r="A269" s="78"/>
      <c r="B269" s="78"/>
      <c r="C269" s="78"/>
      <c r="D269" s="78"/>
      <c r="E269" s="78"/>
      <c r="F269" s="78"/>
      <c r="G269" s="78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/>
      <c r="W269" s="78"/>
      <c r="X269" s="78"/>
      <c r="Y269" s="78"/>
      <c r="Z269" s="78"/>
    </row>
    <row r="270" spans="1:26" ht="12.75" customHeight="1" x14ac:dyDescent="0.2">
      <c r="A270" s="78"/>
      <c r="B270" s="78"/>
      <c r="C270" s="78"/>
      <c r="D270" s="78"/>
      <c r="E270" s="78"/>
      <c r="F270" s="78"/>
      <c r="G270" s="78"/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8"/>
      <c r="W270" s="78"/>
      <c r="X270" s="78"/>
      <c r="Y270" s="78"/>
      <c r="Z270" s="78"/>
    </row>
    <row r="271" spans="1:26" ht="12.75" customHeight="1" x14ac:dyDescent="0.2">
      <c r="A271" s="78"/>
      <c r="B271" s="78"/>
      <c r="C271" s="78"/>
      <c r="D271" s="78"/>
      <c r="E271" s="78"/>
      <c r="F271" s="78"/>
      <c r="G271" s="78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  <c r="W271" s="78"/>
      <c r="X271" s="78"/>
      <c r="Y271" s="78"/>
      <c r="Z271" s="78"/>
    </row>
    <row r="272" spans="1:26" ht="12.75" customHeight="1" x14ac:dyDescent="0.2">
      <c r="A272" s="78"/>
      <c r="B272" s="78"/>
      <c r="C272" s="78"/>
      <c r="D272" s="78"/>
      <c r="E272" s="78"/>
      <c r="F272" s="78"/>
      <c r="G272" s="78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  <c r="W272" s="78"/>
      <c r="X272" s="78"/>
      <c r="Y272" s="78"/>
      <c r="Z272" s="78"/>
    </row>
    <row r="273" spans="1:26" ht="12.75" customHeight="1" x14ac:dyDescent="0.2">
      <c r="A273" s="78"/>
      <c r="B273" s="78"/>
      <c r="C273" s="78"/>
      <c r="D273" s="78"/>
      <c r="E273" s="78"/>
      <c r="F273" s="78"/>
      <c r="G273" s="78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  <c r="W273" s="78"/>
      <c r="X273" s="78"/>
      <c r="Y273" s="78"/>
      <c r="Z273" s="78"/>
    </row>
    <row r="274" spans="1:26" ht="12.75" customHeight="1" x14ac:dyDescent="0.2">
      <c r="A274" s="78"/>
      <c r="B274" s="78"/>
      <c r="C274" s="78"/>
      <c r="D274" s="78"/>
      <c r="E274" s="78"/>
      <c r="F274" s="78"/>
      <c r="G274" s="78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  <c r="Z274" s="78"/>
    </row>
    <row r="275" spans="1:26" ht="12.75" customHeight="1" x14ac:dyDescent="0.2">
      <c r="A275" s="78"/>
      <c r="B275" s="78"/>
      <c r="C275" s="78"/>
      <c r="D275" s="78"/>
      <c r="E275" s="78"/>
      <c r="F275" s="78"/>
      <c r="G275" s="78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8"/>
      <c r="Z275" s="78"/>
    </row>
    <row r="276" spans="1:26" ht="12.75" customHeight="1" x14ac:dyDescent="0.2">
      <c r="A276" s="78"/>
      <c r="B276" s="78"/>
      <c r="C276" s="78"/>
      <c r="D276" s="78"/>
      <c r="E276" s="78"/>
      <c r="F276" s="78"/>
      <c r="G276" s="78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  <c r="W276" s="78"/>
      <c r="X276" s="78"/>
      <c r="Y276" s="78"/>
      <c r="Z276" s="78"/>
    </row>
    <row r="277" spans="1:26" ht="12.75" customHeight="1" x14ac:dyDescent="0.2">
      <c r="A277" s="78"/>
      <c r="B277" s="78"/>
      <c r="C277" s="78"/>
      <c r="D277" s="78"/>
      <c r="E277" s="78"/>
      <c r="F277" s="78"/>
      <c r="G277" s="78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  <c r="X277" s="78"/>
      <c r="Y277" s="78"/>
      <c r="Z277" s="78"/>
    </row>
    <row r="278" spans="1:26" ht="12.75" customHeight="1" x14ac:dyDescent="0.2">
      <c r="A278" s="78"/>
      <c r="B278" s="78"/>
      <c r="C278" s="78"/>
      <c r="D278" s="78"/>
      <c r="E278" s="78"/>
      <c r="F278" s="78"/>
      <c r="G278" s="78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  <c r="X278" s="78"/>
      <c r="Y278" s="78"/>
      <c r="Z278" s="78"/>
    </row>
    <row r="279" spans="1:26" ht="12.75" customHeight="1" x14ac:dyDescent="0.2">
      <c r="A279" s="78"/>
      <c r="B279" s="78"/>
      <c r="C279" s="78"/>
      <c r="D279" s="78"/>
      <c r="E279" s="78"/>
      <c r="F279" s="78"/>
      <c r="G279" s="78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  <c r="Z279" s="78"/>
    </row>
    <row r="280" spans="1:26" ht="12.75" customHeight="1" x14ac:dyDescent="0.2">
      <c r="A280" s="78"/>
      <c r="B280" s="78"/>
      <c r="C280" s="78"/>
      <c r="D280" s="78"/>
      <c r="E280" s="78"/>
      <c r="F280" s="78"/>
      <c r="G280" s="78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8"/>
      <c r="Z280" s="78"/>
    </row>
    <row r="281" spans="1:26" ht="12.75" customHeight="1" x14ac:dyDescent="0.2">
      <c r="A281" s="78"/>
      <c r="B281" s="78"/>
      <c r="C281" s="78"/>
      <c r="D281" s="78"/>
      <c r="E281" s="78"/>
      <c r="F281" s="78"/>
      <c r="G281" s="78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  <c r="Z281" s="78"/>
    </row>
    <row r="282" spans="1:26" ht="12.75" customHeight="1" x14ac:dyDescent="0.2">
      <c r="A282" s="78"/>
      <c r="B282" s="78"/>
      <c r="C282" s="78"/>
      <c r="D282" s="78"/>
      <c r="E282" s="78"/>
      <c r="F282" s="78"/>
      <c r="G282" s="78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  <c r="Z282" s="78"/>
    </row>
    <row r="283" spans="1:26" ht="12.75" customHeight="1" x14ac:dyDescent="0.2">
      <c r="A283" s="78"/>
      <c r="B283" s="78"/>
      <c r="C283" s="78"/>
      <c r="D283" s="78"/>
      <c r="E283" s="78"/>
      <c r="F283" s="78"/>
      <c r="G283" s="78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</row>
    <row r="284" spans="1:26" ht="12.75" customHeight="1" x14ac:dyDescent="0.2">
      <c r="A284" s="78"/>
      <c r="B284" s="78"/>
      <c r="C284" s="78"/>
      <c r="D284" s="78"/>
      <c r="E284" s="78"/>
      <c r="F284" s="78"/>
      <c r="G284" s="78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  <c r="Z284" s="78"/>
    </row>
    <row r="285" spans="1:26" ht="12.75" customHeight="1" x14ac:dyDescent="0.2">
      <c r="A285" s="78"/>
      <c r="B285" s="78"/>
      <c r="C285" s="78"/>
      <c r="D285" s="78"/>
      <c r="E285" s="78"/>
      <c r="F285" s="78"/>
      <c r="G285" s="78"/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  <c r="W285" s="78"/>
      <c r="X285" s="78"/>
      <c r="Y285" s="78"/>
      <c r="Z285" s="78"/>
    </row>
    <row r="286" spans="1:26" ht="12.75" customHeight="1" x14ac:dyDescent="0.2">
      <c r="A286" s="78"/>
      <c r="B286" s="78"/>
      <c r="C286" s="78"/>
      <c r="D286" s="78"/>
      <c r="E286" s="78"/>
      <c r="F286" s="78"/>
      <c r="G286" s="78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8"/>
      <c r="Z286" s="78"/>
    </row>
    <row r="287" spans="1:26" ht="12.75" customHeight="1" x14ac:dyDescent="0.2">
      <c r="A287" s="78"/>
      <c r="B287" s="78"/>
      <c r="C287" s="78"/>
      <c r="D287" s="7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</row>
    <row r="288" spans="1:26" ht="12.75" customHeight="1" x14ac:dyDescent="0.2">
      <c r="A288" s="78"/>
      <c r="B288" s="78"/>
      <c r="C288" s="78"/>
      <c r="D288" s="78"/>
      <c r="E288" s="78"/>
      <c r="F288" s="78"/>
      <c r="G288" s="78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  <c r="Z288" s="78"/>
    </row>
    <row r="289" spans="1:26" ht="12.75" customHeight="1" x14ac:dyDescent="0.2">
      <c r="A289" s="78"/>
      <c r="B289" s="78"/>
      <c r="C289" s="78"/>
      <c r="D289" s="78"/>
      <c r="E289" s="78"/>
      <c r="F289" s="78"/>
      <c r="G289" s="78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  <c r="W289" s="78"/>
      <c r="X289" s="78"/>
      <c r="Y289" s="78"/>
      <c r="Z289" s="78"/>
    </row>
    <row r="290" spans="1:26" ht="12.75" customHeight="1" x14ac:dyDescent="0.2">
      <c r="A290" s="78"/>
      <c r="B290" s="78"/>
      <c r="C290" s="78"/>
      <c r="D290" s="78"/>
      <c r="E290" s="78"/>
      <c r="F290" s="78"/>
      <c r="G290" s="78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  <c r="X290" s="78"/>
      <c r="Y290" s="78"/>
      <c r="Z290" s="78"/>
    </row>
    <row r="291" spans="1:26" ht="12.75" customHeight="1" x14ac:dyDescent="0.2">
      <c r="A291" s="78"/>
      <c r="B291" s="78"/>
      <c r="C291" s="78"/>
      <c r="D291" s="78"/>
      <c r="E291" s="78"/>
      <c r="F291" s="78"/>
      <c r="G291" s="78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  <c r="Z291" s="78"/>
    </row>
    <row r="292" spans="1:26" ht="12.75" customHeight="1" x14ac:dyDescent="0.2">
      <c r="A292" s="78"/>
      <c r="B292" s="78"/>
      <c r="C292" s="78"/>
      <c r="D292" s="78"/>
      <c r="E292" s="78"/>
      <c r="F292" s="78"/>
      <c r="G292" s="78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8"/>
      <c r="Z292" s="78"/>
    </row>
    <row r="293" spans="1:26" ht="12.75" customHeight="1" x14ac:dyDescent="0.2">
      <c r="A293" s="78"/>
      <c r="B293" s="78"/>
      <c r="C293" s="78"/>
      <c r="D293" s="78"/>
      <c r="E293" s="78"/>
      <c r="F293" s="78"/>
      <c r="G293" s="78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  <c r="Z293" s="78"/>
    </row>
    <row r="294" spans="1:26" ht="12.75" customHeight="1" x14ac:dyDescent="0.2">
      <c r="A294" s="78"/>
      <c r="B294" s="78"/>
      <c r="C294" s="78"/>
      <c r="D294" s="78"/>
      <c r="E294" s="78"/>
      <c r="F294" s="78"/>
      <c r="G294" s="78"/>
      <c r="H294" s="78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  <c r="W294" s="78"/>
      <c r="X294" s="78"/>
      <c r="Y294" s="78"/>
      <c r="Z294" s="78"/>
    </row>
    <row r="295" spans="1:26" ht="12.75" customHeight="1" x14ac:dyDescent="0.2">
      <c r="A295" s="78"/>
      <c r="B295" s="78"/>
      <c r="C295" s="78"/>
      <c r="D295" s="78"/>
      <c r="E295" s="78"/>
      <c r="F295" s="78"/>
      <c r="G295" s="78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8"/>
      <c r="Z295" s="78"/>
    </row>
    <row r="296" spans="1:26" ht="12.75" customHeight="1" x14ac:dyDescent="0.2">
      <c r="A296" s="78"/>
      <c r="B296" s="78"/>
      <c r="C296" s="78"/>
      <c r="D296" s="78"/>
      <c r="E296" s="78"/>
      <c r="F296" s="78"/>
      <c r="G296" s="78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8"/>
      <c r="Z296" s="78"/>
    </row>
    <row r="297" spans="1:26" ht="12.75" customHeight="1" x14ac:dyDescent="0.2">
      <c r="A297" s="78"/>
      <c r="B297" s="78"/>
      <c r="C297" s="78"/>
      <c r="D297" s="78"/>
      <c r="E297" s="78"/>
      <c r="F297" s="78"/>
      <c r="G297" s="78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  <c r="Z297" s="78"/>
    </row>
    <row r="298" spans="1:26" ht="12.75" customHeight="1" x14ac:dyDescent="0.2">
      <c r="A298" s="78"/>
      <c r="B298" s="78"/>
      <c r="C298" s="78"/>
      <c r="D298" s="78"/>
      <c r="E298" s="78"/>
      <c r="F298" s="78"/>
      <c r="G298" s="78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  <c r="Z298" s="78"/>
    </row>
    <row r="299" spans="1:26" ht="12.75" customHeight="1" x14ac:dyDescent="0.2">
      <c r="A299" s="78"/>
      <c r="B299" s="78"/>
      <c r="C299" s="78"/>
      <c r="D299" s="78"/>
      <c r="E299" s="78"/>
      <c r="F299" s="78"/>
      <c r="G299" s="78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  <c r="Z299" s="78"/>
    </row>
    <row r="300" spans="1:26" ht="12.75" customHeight="1" x14ac:dyDescent="0.2">
      <c r="A300" s="78"/>
      <c r="B300" s="78"/>
      <c r="C300" s="78"/>
      <c r="D300" s="78"/>
      <c r="E300" s="78"/>
      <c r="F300" s="78"/>
      <c r="G300" s="78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  <c r="Z300" s="78"/>
    </row>
    <row r="301" spans="1:26" ht="12.75" customHeight="1" x14ac:dyDescent="0.2">
      <c r="A301" s="78"/>
      <c r="B301" s="78"/>
      <c r="C301" s="78"/>
      <c r="D301" s="78"/>
      <c r="E301" s="78"/>
      <c r="F301" s="78"/>
      <c r="G301" s="78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  <c r="Z301" s="78"/>
    </row>
    <row r="302" spans="1:26" ht="12.75" customHeight="1" x14ac:dyDescent="0.2">
      <c r="A302" s="78"/>
      <c r="B302" s="78"/>
      <c r="C302" s="78"/>
      <c r="D302" s="78"/>
      <c r="E302" s="78"/>
      <c r="F302" s="78"/>
      <c r="G302" s="78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  <c r="Z302" s="78"/>
    </row>
    <row r="303" spans="1:26" ht="12.75" customHeight="1" x14ac:dyDescent="0.2">
      <c r="A303" s="78"/>
      <c r="B303" s="78"/>
      <c r="C303" s="78"/>
      <c r="D303" s="78"/>
      <c r="E303" s="78"/>
      <c r="F303" s="78"/>
      <c r="G303" s="78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  <c r="Z303" s="78"/>
    </row>
    <row r="304" spans="1:26" ht="12.75" customHeight="1" x14ac:dyDescent="0.2">
      <c r="A304" s="78"/>
      <c r="B304" s="78"/>
      <c r="C304" s="78"/>
      <c r="D304" s="78"/>
      <c r="E304" s="78"/>
      <c r="F304" s="78"/>
      <c r="G304" s="78"/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8"/>
      <c r="Z304" s="78"/>
    </row>
    <row r="305" spans="1:26" ht="12.75" customHeight="1" x14ac:dyDescent="0.2">
      <c r="A305" s="78"/>
      <c r="B305" s="78"/>
      <c r="C305" s="78"/>
      <c r="D305" s="78"/>
      <c r="E305" s="78"/>
      <c r="F305" s="78"/>
      <c r="G305" s="78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  <c r="Z305" s="78"/>
    </row>
    <row r="306" spans="1:26" ht="12.75" customHeight="1" x14ac:dyDescent="0.2">
      <c r="A306" s="78"/>
      <c r="B306" s="78"/>
      <c r="C306" s="78"/>
      <c r="D306" s="78"/>
      <c r="E306" s="78"/>
      <c r="F306" s="78"/>
      <c r="G306" s="78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  <c r="Z306" s="78"/>
    </row>
    <row r="307" spans="1:26" ht="12.75" customHeight="1" x14ac:dyDescent="0.2">
      <c r="A307" s="78"/>
      <c r="B307" s="78"/>
      <c r="C307" s="78"/>
      <c r="D307" s="78"/>
      <c r="E307" s="78"/>
      <c r="F307" s="78"/>
      <c r="G307" s="78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  <c r="Z307" s="78"/>
    </row>
    <row r="308" spans="1:26" ht="12.75" customHeight="1" x14ac:dyDescent="0.2">
      <c r="A308" s="78"/>
      <c r="B308" s="78"/>
      <c r="C308" s="78"/>
      <c r="D308" s="78"/>
      <c r="E308" s="78"/>
      <c r="F308" s="78"/>
      <c r="G308" s="78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  <c r="Z308" s="78"/>
    </row>
    <row r="309" spans="1:26" ht="12.75" customHeight="1" x14ac:dyDescent="0.2">
      <c r="A309" s="78"/>
      <c r="B309" s="78"/>
      <c r="C309" s="78"/>
      <c r="D309" s="78"/>
      <c r="E309" s="78"/>
      <c r="F309" s="78"/>
      <c r="G309" s="78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  <c r="Z309" s="78"/>
    </row>
    <row r="310" spans="1:26" ht="12.75" customHeight="1" x14ac:dyDescent="0.2">
      <c r="A310" s="78"/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</row>
    <row r="311" spans="1:26" ht="12.75" customHeight="1" x14ac:dyDescent="0.2">
      <c r="A311" s="78"/>
      <c r="B311" s="78"/>
      <c r="C311" s="78"/>
      <c r="D311" s="78"/>
      <c r="E311" s="78"/>
      <c r="F311" s="78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</row>
    <row r="312" spans="1:26" ht="12.75" customHeight="1" x14ac:dyDescent="0.2">
      <c r="A312" s="78"/>
      <c r="B312" s="78"/>
      <c r="C312" s="78"/>
      <c r="D312" s="78"/>
      <c r="E312" s="78"/>
      <c r="F312" s="78"/>
      <c r="G312" s="78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8"/>
    </row>
    <row r="313" spans="1:26" ht="12.75" customHeight="1" x14ac:dyDescent="0.2">
      <c r="A313" s="78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</row>
    <row r="314" spans="1:26" ht="12.75" customHeight="1" x14ac:dyDescent="0.2">
      <c r="A314" s="78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</row>
    <row r="315" spans="1:26" ht="12.75" customHeight="1" x14ac:dyDescent="0.2">
      <c r="A315" s="78"/>
      <c r="B315" s="78"/>
      <c r="C315" s="78"/>
      <c r="D315" s="78"/>
      <c r="E315" s="78"/>
      <c r="F315" s="78"/>
      <c r="G315" s="78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  <c r="Z315" s="78"/>
    </row>
    <row r="316" spans="1:26" ht="12.75" customHeight="1" x14ac:dyDescent="0.2">
      <c r="A316" s="78"/>
      <c r="B316" s="78"/>
      <c r="C316" s="78"/>
      <c r="D316" s="78"/>
      <c r="E316" s="78"/>
      <c r="F316" s="78"/>
      <c r="G316" s="78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  <c r="Z316" s="78"/>
    </row>
    <row r="317" spans="1:26" ht="12.75" customHeight="1" x14ac:dyDescent="0.2">
      <c r="A317" s="78"/>
      <c r="B317" s="78"/>
      <c r="C317" s="78"/>
      <c r="D317" s="78"/>
      <c r="E317" s="78"/>
      <c r="F317" s="78"/>
      <c r="G317" s="78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  <c r="Z317" s="78"/>
    </row>
    <row r="318" spans="1:26" ht="12.75" customHeight="1" x14ac:dyDescent="0.2">
      <c r="A318" s="78"/>
      <c r="B318" s="78"/>
      <c r="C318" s="78"/>
      <c r="D318" s="78"/>
      <c r="E318" s="78"/>
      <c r="F318" s="78"/>
      <c r="G318" s="78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  <c r="Z318" s="78"/>
    </row>
    <row r="319" spans="1:26" ht="12.75" customHeight="1" x14ac:dyDescent="0.2">
      <c r="A319" s="78"/>
      <c r="B319" s="78"/>
      <c r="C319" s="78"/>
      <c r="D319" s="78"/>
      <c r="E319" s="78"/>
      <c r="F319" s="78"/>
      <c r="G319" s="78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  <c r="Z319" s="78"/>
    </row>
    <row r="320" spans="1:26" ht="12.75" customHeight="1" x14ac:dyDescent="0.2">
      <c r="A320" s="78"/>
      <c r="B320" s="78"/>
      <c r="C320" s="78"/>
      <c r="D320" s="78"/>
      <c r="E320" s="78"/>
      <c r="F320" s="78"/>
      <c r="G320" s="78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  <c r="Z320" s="78"/>
    </row>
    <row r="321" spans="1:26" ht="12.75" customHeight="1" x14ac:dyDescent="0.2">
      <c r="A321" s="78"/>
      <c r="B321" s="78"/>
      <c r="C321" s="78"/>
      <c r="D321" s="78"/>
      <c r="E321" s="78"/>
      <c r="F321" s="78"/>
      <c r="G321" s="78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  <c r="Z321" s="78"/>
    </row>
    <row r="322" spans="1:26" ht="12.75" customHeight="1" x14ac:dyDescent="0.2">
      <c r="A322" s="78"/>
      <c r="B322" s="78"/>
      <c r="C322" s="78"/>
      <c r="D322" s="78"/>
      <c r="E322" s="78"/>
      <c r="F322" s="78"/>
      <c r="G322" s="78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</row>
    <row r="323" spans="1:26" ht="12.75" customHeight="1" x14ac:dyDescent="0.2">
      <c r="A323" s="78"/>
      <c r="B323" s="78"/>
      <c r="C323" s="78"/>
      <c r="D323" s="78"/>
      <c r="E323" s="78"/>
      <c r="F323" s="78"/>
      <c r="G323" s="78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</row>
    <row r="324" spans="1:26" ht="12.75" customHeight="1" x14ac:dyDescent="0.2">
      <c r="A324" s="78"/>
      <c r="B324" s="78"/>
      <c r="C324" s="78"/>
      <c r="D324" s="78"/>
      <c r="E324" s="78"/>
      <c r="F324" s="78"/>
      <c r="G324" s="78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</row>
    <row r="325" spans="1:26" ht="12.75" customHeight="1" x14ac:dyDescent="0.2">
      <c r="A325" s="78"/>
      <c r="B325" s="78"/>
      <c r="C325" s="78"/>
      <c r="D325" s="78"/>
      <c r="E325" s="78"/>
      <c r="F325" s="78"/>
      <c r="G325" s="78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  <c r="Z325" s="78"/>
    </row>
    <row r="326" spans="1:26" ht="12.75" customHeight="1" x14ac:dyDescent="0.2">
      <c r="A326" s="78"/>
      <c r="B326" s="78"/>
      <c r="C326" s="78"/>
      <c r="D326" s="78"/>
      <c r="E326" s="78"/>
      <c r="F326" s="78"/>
      <c r="G326" s="78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  <c r="Z326" s="78"/>
    </row>
    <row r="327" spans="1:26" ht="12.75" customHeight="1" x14ac:dyDescent="0.2">
      <c r="A327" s="78"/>
      <c r="B327" s="78"/>
      <c r="C327" s="78"/>
      <c r="D327" s="78"/>
      <c r="E327" s="78"/>
      <c r="F327" s="78"/>
      <c r="G327" s="78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</row>
    <row r="328" spans="1:26" ht="12.75" customHeight="1" x14ac:dyDescent="0.2">
      <c r="A328" s="78"/>
      <c r="B328" s="78"/>
      <c r="C328" s="78"/>
      <c r="D328" s="78"/>
      <c r="E328" s="78"/>
      <c r="F328" s="78"/>
      <c r="G328" s="78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</row>
    <row r="329" spans="1:26" ht="12.75" customHeight="1" x14ac:dyDescent="0.2">
      <c r="A329" s="78"/>
      <c r="B329" s="78"/>
      <c r="C329" s="78"/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</row>
    <row r="330" spans="1:26" ht="12.75" customHeight="1" x14ac:dyDescent="0.2">
      <c r="A330" s="78"/>
      <c r="B330" s="78"/>
      <c r="C330" s="78"/>
      <c r="D330" s="78"/>
      <c r="E330" s="78"/>
      <c r="F330" s="78"/>
      <c r="G330" s="78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</row>
    <row r="331" spans="1:26" ht="12.75" customHeight="1" x14ac:dyDescent="0.2">
      <c r="A331" s="78"/>
      <c r="B331" s="78"/>
      <c r="C331" s="78"/>
      <c r="D331" s="78"/>
      <c r="E331" s="78"/>
      <c r="F331" s="78"/>
      <c r="G331" s="78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</row>
    <row r="332" spans="1:26" ht="12.75" customHeight="1" x14ac:dyDescent="0.2">
      <c r="A332" s="78"/>
      <c r="B332" s="78"/>
      <c r="C332" s="78"/>
      <c r="D332" s="78"/>
      <c r="E332" s="78"/>
      <c r="F332" s="78"/>
      <c r="G332" s="78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</row>
    <row r="333" spans="1:26" ht="12.75" customHeight="1" x14ac:dyDescent="0.2">
      <c r="A333" s="78"/>
      <c r="B333" s="78"/>
      <c r="C333" s="78"/>
      <c r="D333" s="78"/>
      <c r="E333" s="78"/>
      <c r="F333" s="78"/>
      <c r="G333" s="78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  <c r="Z333" s="78"/>
    </row>
    <row r="334" spans="1:26" ht="12.75" customHeight="1" x14ac:dyDescent="0.2">
      <c r="A334" s="78"/>
      <c r="B334" s="78"/>
      <c r="C334" s="78"/>
      <c r="D334" s="78"/>
      <c r="E334" s="78"/>
      <c r="F334" s="78"/>
      <c r="G334" s="78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</row>
    <row r="335" spans="1:26" ht="12.75" customHeight="1" x14ac:dyDescent="0.2">
      <c r="A335" s="78"/>
      <c r="B335" s="78"/>
      <c r="C335" s="78"/>
      <c r="D335" s="78"/>
      <c r="E335" s="78"/>
      <c r="F335" s="78"/>
      <c r="G335" s="78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  <c r="Z335" s="78"/>
    </row>
    <row r="336" spans="1:26" ht="12.75" customHeight="1" x14ac:dyDescent="0.2">
      <c r="A336" s="78"/>
      <c r="B336" s="78"/>
      <c r="C336" s="78"/>
      <c r="D336" s="78"/>
      <c r="E336" s="78"/>
      <c r="F336" s="78"/>
      <c r="G336" s="78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</row>
    <row r="337" spans="1:26" ht="12.75" customHeight="1" x14ac:dyDescent="0.2">
      <c r="A337" s="78"/>
      <c r="B337" s="78"/>
      <c r="C337" s="78"/>
      <c r="D337" s="78"/>
      <c r="E337" s="78"/>
      <c r="F337" s="78"/>
      <c r="G337" s="78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  <c r="Z337" s="78"/>
    </row>
    <row r="338" spans="1:26" ht="12.75" customHeight="1" x14ac:dyDescent="0.2">
      <c r="A338" s="78"/>
      <c r="B338" s="78"/>
      <c r="C338" s="78"/>
      <c r="D338" s="78"/>
      <c r="E338" s="78"/>
      <c r="F338" s="78"/>
      <c r="G338" s="78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</row>
    <row r="339" spans="1:26" ht="12.75" customHeight="1" x14ac:dyDescent="0.2">
      <c r="A339" s="78"/>
      <c r="B339" s="78"/>
      <c r="C339" s="78"/>
      <c r="D339" s="78"/>
      <c r="E339" s="78"/>
      <c r="F339" s="78"/>
      <c r="G339" s="78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</row>
    <row r="340" spans="1:26" ht="12.75" customHeight="1" x14ac:dyDescent="0.2">
      <c r="A340" s="78"/>
      <c r="B340" s="78"/>
      <c r="C340" s="78"/>
      <c r="D340" s="78"/>
      <c r="E340" s="78"/>
      <c r="F340" s="78"/>
      <c r="G340" s="78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</row>
    <row r="341" spans="1:26" ht="12.75" customHeight="1" x14ac:dyDescent="0.2">
      <c r="A341" s="78"/>
      <c r="B341" s="78"/>
      <c r="C341" s="78"/>
      <c r="D341" s="78"/>
      <c r="E341" s="78"/>
      <c r="F341" s="78"/>
      <c r="G341" s="78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  <c r="Z341" s="78"/>
    </row>
    <row r="342" spans="1:26" ht="12.75" customHeight="1" x14ac:dyDescent="0.2">
      <c r="A342" s="78"/>
      <c r="B342" s="78"/>
      <c r="C342" s="78"/>
      <c r="D342" s="78"/>
      <c r="E342" s="78"/>
      <c r="F342" s="78"/>
      <c r="G342" s="78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</row>
    <row r="343" spans="1:26" ht="12.75" customHeight="1" x14ac:dyDescent="0.2">
      <c r="A343" s="78"/>
      <c r="B343" s="78"/>
      <c r="C343" s="78"/>
      <c r="D343" s="78"/>
      <c r="E343" s="78"/>
      <c r="F343" s="78"/>
      <c r="G343" s="78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</row>
    <row r="344" spans="1:26" ht="12.75" customHeight="1" x14ac:dyDescent="0.2">
      <c r="A344" s="78"/>
      <c r="B344" s="78"/>
      <c r="C344" s="78"/>
      <c r="D344" s="78"/>
      <c r="E344" s="78"/>
      <c r="F344" s="78"/>
      <c r="G344" s="78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</row>
    <row r="345" spans="1:26" ht="12.75" customHeight="1" x14ac:dyDescent="0.2">
      <c r="A345" s="78"/>
      <c r="B345" s="78"/>
      <c r="C345" s="78"/>
      <c r="D345" s="78"/>
      <c r="E345" s="78"/>
      <c r="F345" s="78"/>
      <c r="G345" s="78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</row>
    <row r="346" spans="1:26" ht="12.75" customHeight="1" x14ac:dyDescent="0.2">
      <c r="A346" s="78"/>
      <c r="B346" s="78"/>
      <c r="C346" s="78"/>
      <c r="D346" s="78"/>
      <c r="E346" s="78"/>
      <c r="F346" s="78"/>
      <c r="G346" s="78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</row>
    <row r="347" spans="1:26" ht="12.75" customHeight="1" x14ac:dyDescent="0.2">
      <c r="A347" s="78"/>
      <c r="B347" s="78"/>
      <c r="C347" s="78"/>
      <c r="D347" s="78"/>
      <c r="E347" s="78"/>
      <c r="F347" s="78"/>
      <c r="G347" s="78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</row>
    <row r="348" spans="1:26" ht="12.75" customHeight="1" x14ac:dyDescent="0.2">
      <c r="A348" s="78"/>
      <c r="B348" s="78"/>
      <c r="C348" s="78"/>
      <c r="D348" s="78"/>
      <c r="E348" s="78"/>
      <c r="F348" s="78"/>
      <c r="G348" s="78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</row>
    <row r="349" spans="1:26" ht="12.75" customHeight="1" x14ac:dyDescent="0.2">
      <c r="A349" s="78"/>
      <c r="B349" s="78"/>
      <c r="C349" s="78"/>
      <c r="D349" s="78"/>
      <c r="E349" s="78"/>
      <c r="F349" s="78"/>
      <c r="G349" s="78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</row>
    <row r="350" spans="1:26" ht="12.75" customHeight="1" x14ac:dyDescent="0.2">
      <c r="A350" s="78"/>
      <c r="B350" s="78"/>
      <c r="C350" s="78"/>
      <c r="D350" s="78"/>
      <c r="E350" s="78"/>
      <c r="F350" s="78"/>
      <c r="G350" s="78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</row>
    <row r="351" spans="1:26" ht="12.75" customHeight="1" x14ac:dyDescent="0.2">
      <c r="A351" s="78"/>
      <c r="B351" s="78"/>
      <c r="C351" s="78"/>
      <c r="D351" s="78"/>
      <c r="E351" s="78"/>
      <c r="F351" s="78"/>
      <c r="G351" s="78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</row>
    <row r="352" spans="1:26" ht="12.75" customHeight="1" x14ac:dyDescent="0.2">
      <c r="A352" s="78"/>
      <c r="B352" s="78"/>
      <c r="C352" s="78"/>
      <c r="D352" s="78"/>
      <c r="E352" s="78"/>
      <c r="F352" s="78"/>
      <c r="G352" s="78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</row>
    <row r="353" spans="1:26" ht="12.75" customHeight="1" x14ac:dyDescent="0.2">
      <c r="A353" s="78"/>
      <c r="B353" s="78"/>
      <c r="C353" s="78"/>
      <c r="D353" s="78"/>
      <c r="E353" s="78"/>
      <c r="F353" s="78"/>
      <c r="G353" s="78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</row>
    <row r="354" spans="1:26" ht="12.75" customHeight="1" x14ac:dyDescent="0.2">
      <c r="A354" s="78"/>
      <c r="B354" s="78"/>
      <c r="C354" s="78"/>
      <c r="D354" s="78"/>
      <c r="E354" s="78"/>
      <c r="F354" s="78"/>
      <c r="G354" s="78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</row>
    <row r="355" spans="1:26" ht="12.75" customHeight="1" x14ac:dyDescent="0.2">
      <c r="A355" s="78"/>
      <c r="B355" s="78"/>
      <c r="C355" s="78"/>
      <c r="D355" s="78"/>
      <c r="E355" s="78"/>
      <c r="F355" s="78"/>
      <c r="G355" s="78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</row>
    <row r="356" spans="1:26" ht="12.75" customHeight="1" x14ac:dyDescent="0.2">
      <c r="A356" s="78"/>
      <c r="B356" s="78"/>
      <c r="C356" s="78"/>
      <c r="D356" s="78"/>
      <c r="E356" s="78"/>
      <c r="F356" s="78"/>
      <c r="G356" s="78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  <c r="Z356" s="78"/>
    </row>
    <row r="357" spans="1:26" ht="12.75" customHeight="1" x14ac:dyDescent="0.2">
      <c r="A357" s="78"/>
      <c r="B357" s="78"/>
      <c r="C357" s="78"/>
      <c r="D357" s="78"/>
      <c r="E357" s="78"/>
      <c r="F357" s="78"/>
      <c r="G357" s="78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</row>
    <row r="358" spans="1:26" ht="12.75" customHeight="1" x14ac:dyDescent="0.2">
      <c r="A358" s="78"/>
      <c r="B358" s="78"/>
      <c r="C358" s="78"/>
      <c r="D358" s="78"/>
      <c r="E358" s="78"/>
      <c r="F358" s="78"/>
      <c r="G358" s="78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</row>
    <row r="359" spans="1:26" ht="12.75" customHeight="1" x14ac:dyDescent="0.2">
      <c r="A359" s="78"/>
      <c r="B359" s="78"/>
      <c r="C359" s="78"/>
      <c r="D359" s="78"/>
      <c r="E359" s="78"/>
      <c r="F359" s="78"/>
      <c r="G359" s="78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</row>
    <row r="360" spans="1:26" ht="12.75" customHeight="1" x14ac:dyDescent="0.2">
      <c r="A360" s="78"/>
      <c r="B360" s="78"/>
      <c r="C360" s="78"/>
      <c r="D360" s="78"/>
      <c r="E360" s="78"/>
      <c r="F360" s="78"/>
      <c r="G360" s="78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</row>
    <row r="361" spans="1:26" ht="12.75" customHeight="1" x14ac:dyDescent="0.2">
      <c r="A361" s="78"/>
      <c r="B361" s="78"/>
      <c r="C361" s="78"/>
      <c r="D361" s="78"/>
      <c r="E361" s="78"/>
      <c r="F361" s="78"/>
      <c r="G361" s="78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</row>
    <row r="362" spans="1:26" ht="12.75" customHeight="1" x14ac:dyDescent="0.2">
      <c r="A362" s="78"/>
      <c r="B362" s="78"/>
      <c r="C362" s="78"/>
      <c r="D362" s="78"/>
      <c r="E362" s="78"/>
      <c r="F362" s="78"/>
      <c r="G362" s="78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</row>
    <row r="363" spans="1:26" ht="12.75" customHeight="1" x14ac:dyDescent="0.2">
      <c r="A363" s="78"/>
      <c r="B363" s="78"/>
      <c r="C363" s="78"/>
      <c r="D363" s="78"/>
      <c r="E363" s="78"/>
      <c r="F363" s="78"/>
      <c r="G363" s="78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</row>
    <row r="364" spans="1:26" ht="12.75" customHeight="1" x14ac:dyDescent="0.2">
      <c r="A364" s="78"/>
      <c r="B364" s="78"/>
      <c r="C364" s="78"/>
      <c r="D364" s="78"/>
      <c r="E364" s="78"/>
      <c r="F364" s="78"/>
      <c r="G364" s="78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</row>
    <row r="365" spans="1:26" ht="12.75" customHeight="1" x14ac:dyDescent="0.2">
      <c r="A365" s="78"/>
      <c r="B365" s="78"/>
      <c r="C365" s="78"/>
      <c r="D365" s="78"/>
      <c r="E365" s="78"/>
      <c r="F365" s="78"/>
      <c r="G365" s="78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</row>
    <row r="366" spans="1:26" ht="12.75" customHeight="1" x14ac:dyDescent="0.2">
      <c r="A366" s="78"/>
      <c r="B366" s="78"/>
      <c r="C366" s="78"/>
      <c r="D366" s="78"/>
      <c r="E366" s="78"/>
      <c r="F366" s="78"/>
      <c r="G366" s="78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</row>
    <row r="367" spans="1:26" ht="12.75" customHeight="1" x14ac:dyDescent="0.2">
      <c r="A367" s="78"/>
      <c r="B367" s="78"/>
      <c r="C367" s="78"/>
      <c r="D367" s="78"/>
      <c r="E367" s="78"/>
      <c r="F367" s="78"/>
      <c r="G367" s="78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  <c r="Z367" s="78"/>
    </row>
    <row r="368" spans="1:26" ht="12.75" customHeight="1" x14ac:dyDescent="0.2">
      <c r="A368" s="78"/>
      <c r="B368" s="78"/>
      <c r="C368" s="78"/>
      <c r="D368" s="78"/>
      <c r="E368" s="78"/>
      <c r="F368" s="78"/>
      <c r="G368" s="78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  <c r="Z368" s="78"/>
    </row>
    <row r="369" spans="1:26" ht="12.75" customHeight="1" x14ac:dyDescent="0.2">
      <c r="A369" s="78"/>
      <c r="B369" s="78"/>
      <c r="C369" s="78"/>
      <c r="D369" s="78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</row>
    <row r="370" spans="1:26" ht="12.75" customHeight="1" x14ac:dyDescent="0.2">
      <c r="A370" s="78"/>
      <c r="B370" s="78"/>
      <c r="C370" s="78"/>
      <c r="D370" s="78"/>
      <c r="E370" s="78"/>
      <c r="F370" s="78"/>
      <c r="G370" s="78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  <c r="Z370" s="78"/>
    </row>
    <row r="371" spans="1:26" ht="12.75" customHeight="1" x14ac:dyDescent="0.2">
      <c r="A371" s="78"/>
      <c r="B371" s="78"/>
      <c r="C371" s="78"/>
      <c r="D371" s="78"/>
      <c r="E371" s="78"/>
      <c r="F371" s="78"/>
      <c r="G371" s="78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  <c r="Z371" s="78"/>
    </row>
    <row r="372" spans="1:26" ht="12.75" customHeight="1" x14ac:dyDescent="0.2">
      <c r="A372" s="78"/>
      <c r="B372" s="78"/>
      <c r="C372" s="78"/>
      <c r="D372" s="78"/>
      <c r="E372" s="78"/>
      <c r="F372" s="78"/>
      <c r="G372" s="78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  <c r="Z372" s="78"/>
    </row>
    <row r="373" spans="1:26" ht="12.75" customHeight="1" x14ac:dyDescent="0.2">
      <c r="A373" s="78"/>
      <c r="B373" s="78"/>
      <c r="C373" s="78"/>
      <c r="D373" s="78"/>
      <c r="E373" s="78"/>
      <c r="F373" s="78"/>
      <c r="G373" s="78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  <c r="Z373" s="78"/>
    </row>
    <row r="374" spans="1:26" ht="12.75" customHeight="1" x14ac:dyDescent="0.2">
      <c r="A374" s="78"/>
      <c r="B374" s="78"/>
      <c r="C374" s="78"/>
      <c r="D374" s="78"/>
      <c r="E374" s="78"/>
      <c r="F374" s="78"/>
      <c r="G374" s="78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  <c r="Z374" s="78"/>
    </row>
    <row r="375" spans="1:26" ht="12.75" customHeight="1" x14ac:dyDescent="0.2">
      <c r="A375" s="78"/>
      <c r="B375" s="78"/>
      <c r="C375" s="78"/>
      <c r="D375" s="78"/>
      <c r="E375" s="78"/>
      <c r="F375" s="78"/>
      <c r="G375" s="78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  <c r="Z375" s="78"/>
    </row>
    <row r="376" spans="1:26" ht="12.75" customHeight="1" x14ac:dyDescent="0.2">
      <c r="A376" s="78"/>
      <c r="B376" s="78"/>
      <c r="C376" s="78"/>
      <c r="D376" s="78"/>
      <c r="E376" s="78"/>
      <c r="F376" s="78"/>
      <c r="G376" s="78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  <c r="Z376" s="78"/>
    </row>
    <row r="377" spans="1:26" ht="12.75" customHeight="1" x14ac:dyDescent="0.2">
      <c r="A377" s="78"/>
      <c r="B377" s="78"/>
      <c r="C377" s="78"/>
      <c r="D377" s="78"/>
      <c r="E377" s="78"/>
      <c r="F377" s="78"/>
      <c r="G377" s="78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  <c r="Z377" s="78"/>
    </row>
    <row r="378" spans="1:26" ht="12.75" customHeight="1" x14ac:dyDescent="0.2">
      <c r="A378" s="78"/>
      <c r="B378" s="78"/>
      <c r="C378" s="78"/>
      <c r="D378" s="78"/>
      <c r="E378" s="78"/>
      <c r="F378" s="78"/>
      <c r="G378" s="78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  <c r="Z378" s="78"/>
    </row>
    <row r="379" spans="1:26" ht="12.75" customHeight="1" x14ac:dyDescent="0.2">
      <c r="A379" s="78"/>
      <c r="B379" s="78"/>
      <c r="C379" s="78"/>
      <c r="D379" s="78"/>
      <c r="E379" s="78"/>
      <c r="F379" s="78"/>
      <c r="G379" s="78"/>
      <c r="H379" s="78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  <c r="Z379" s="78"/>
    </row>
    <row r="380" spans="1:26" ht="12.75" customHeight="1" x14ac:dyDescent="0.2">
      <c r="A380" s="78"/>
      <c r="B380" s="78"/>
      <c r="C380" s="78"/>
      <c r="D380" s="78"/>
      <c r="E380" s="78"/>
      <c r="F380" s="78"/>
      <c r="G380" s="78"/>
      <c r="H380" s="78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  <c r="Z380" s="78"/>
    </row>
    <row r="381" spans="1:26" ht="12.75" customHeight="1" x14ac:dyDescent="0.2">
      <c r="A381" s="78"/>
      <c r="B381" s="78"/>
      <c r="C381" s="78"/>
      <c r="D381" s="78"/>
      <c r="E381" s="78"/>
      <c r="F381" s="78"/>
      <c r="G381" s="78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  <c r="Z381" s="78"/>
    </row>
    <row r="382" spans="1:26" ht="12.75" customHeight="1" x14ac:dyDescent="0.2">
      <c r="A382" s="78"/>
      <c r="B382" s="78"/>
      <c r="C382" s="78"/>
      <c r="D382" s="78"/>
      <c r="E382" s="78"/>
      <c r="F382" s="78"/>
      <c r="G382" s="78"/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  <c r="Z382" s="78"/>
    </row>
    <row r="383" spans="1:26" ht="12.75" customHeight="1" x14ac:dyDescent="0.2">
      <c r="A383" s="78"/>
      <c r="B383" s="78"/>
      <c r="C383" s="78"/>
      <c r="D383" s="78"/>
      <c r="E383" s="78"/>
      <c r="F383" s="78"/>
      <c r="G383" s="78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  <c r="Z383" s="78"/>
    </row>
    <row r="384" spans="1:26" ht="12.75" customHeight="1" x14ac:dyDescent="0.2">
      <c r="A384" s="78"/>
      <c r="B384" s="78"/>
      <c r="C384" s="78"/>
      <c r="D384" s="78"/>
      <c r="E384" s="78"/>
      <c r="F384" s="78"/>
      <c r="G384" s="78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  <c r="Z384" s="78"/>
    </row>
    <row r="385" spans="1:26" ht="12.75" customHeight="1" x14ac:dyDescent="0.2">
      <c r="A385" s="78"/>
      <c r="B385" s="78"/>
      <c r="C385" s="78"/>
      <c r="D385" s="78"/>
      <c r="E385" s="78"/>
      <c r="F385" s="78"/>
      <c r="G385" s="78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  <c r="Z385" s="78"/>
    </row>
    <row r="386" spans="1:26" ht="12.75" customHeight="1" x14ac:dyDescent="0.2">
      <c r="A386" s="78"/>
      <c r="B386" s="78"/>
      <c r="C386" s="78"/>
      <c r="D386" s="78"/>
      <c r="E386" s="78"/>
      <c r="F386" s="78"/>
      <c r="G386" s="78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  <c r="Z386" s="78"/>
    </row>
    <row r="387" spans="1:26" ht="12.75" customHeight="1" x14ac:dyDescent="0.2">
      <c r="A387" s="78"/>
      <c r="B387" s="78"/>
      <c r="C387" s="78"/>
      <c r="D387" s="78"/>
      <c r="E387" s="78"/>
      <c r="F387" s="78"/>
      <c r="G387" s="78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  <c r="Z387" s="78"/>
    </row>
    <row r="388" spans="1:26" ht="12.75" customHeight="1" x14ac:dyDescent="0.2">
      <c r="A388" s="78"/>
      <c r="B388" s="78"/>
      <c r="C388" s="78"/>
      <c r="D388" s="78"/>
      <c r="E388" s="78"/>
      <c r="F388" s="78"/>
      <c r="G388" s="78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  <c r="Z388" s="78"/>
    </row>
    <row r="389" spans="1:26" ht="12.75" customHeight="1" x14ac:dyDescent="0.2">
      <c r="A389" s="78"/>
      <c r="B389" s="78"/>
      <c r="C389" s="78"/>
      <c r="D389" s="78"/>
      <c r="E389" s="78"/>
      <c r="F389" s="78"/>
      <c r="G389" s="78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  <c r="Z389" s="78"/>
    </row>
    <row r="390" spans="1:26" ht="12.75" customHeight="1" x14ac:dyDescent="0.2">
      <c r="A390" s="78"/>
      <c r="B390" s="78"/>
      <c r="C390" s="78"/>
      <c r="D390" s="78"/>
      <c r="E390" s="78"/>
      <c r="F390" s="78"/>
      <c r="G390" s="78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  <c r="Z390" s="78"/>
    </row>
    <row r="391" spans="1:26" ht="12.75" customHeight="1" x14ac:dyDescent="0.2">
      <c r="A391" s="78"/>
      <c r="B391" s="78"/>
      <c r="C391" s="78"/>
      <c r="D391" s="78"/>
      <c r="E391" s="78"/>
      <c r="F391" s="78"/>
      <c r="G391" s="78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  <c r="Z391" s="78"/>
    </row>
    <row r="392" spans="1:26" ht="12.75" customHeight="1" x14ac:dyDescent="0.2">
      <c r="A392" s="78"/>
      <c r="B392" s="78"/>
      <c r="C392" s="78"/>
      <c r="D392" s="78"/>
      <c r="E392" s="78"/>
      <c r="F392" s="78"/>
      <c r="G392" s="78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  <c r="Z392" s="78"/>
    </row>
    <row r="393" spans="1:26" ht="12.75" customHeight="1" x14ac:dyDescent="0.2">
      <c r="A393" s="78"/>
      <c r="B393" s="78"/>
      <c r="C393" s="78"/>
      <c r="D393" s="78"/>
      <c r="E393" s="78"/>
      <c r="F393" s="78"/>
      <c r="G393" s="78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  <c r="Z393" s="78"/>
    </row>
    <row r="394" spans="1:26" ht="12.75" customHeight="1" x14ac:dyDescent="0.2">
      <c r="A394" s="78"/>
      <c r="B394" s="78"/>
      <c r="C394" s="78"/>
      <c r="D394" s="78"/>
      <c r="E394" s="78"/>
      <c r="F394" s="78"/>
      <c r="G394" s="78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  <c r="Z394" s="78"/>
    </row>
    <row r="395" spans="1:26" ht="12.75" customHeight="1" x14ac:dyDescent="0.2">
      <c r="A395" s="78"/>
      <c r="B395" s="78"/>
      <c r="C395" s="78"/>
      <c r="D395" s="78"/>
      <c r="E395" s="78"/>
      <c r="F395" s="78"/>
      <c r="G395" s="78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  <c r="Z395" s="78"/>
    </row>
    <row r="396" spans="1:26" ht="12.75" customHeight="1" x14ac:dyDescent="0.2">
      <c r="A396" s="78"/>
      <c r="B396" s="78"/>
      <c r="C396" s="78"/>
      <c r="D396" s="78"/>
      <c r="E396" s="78"/>
      <c r="F396" s="78"/>
      <c r="G396" s="78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  <c r="Z396" s="78"/>
    </row>
    <row r="397" spans="1:26" ht="12.75" customHeight="1" x14ac:dyDescent="0.2">
      <c r="A397" s="78"/>
      <c r="B397" s="78"/>
      <c r="C397" s="78"/>
      <c r="D397" s="78"/>
      <c r="E397" s="78"/>
      <c r="F397" s="78"/>
      <c r="G397" s="78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  <c r="Z397" s="78"/>
    </row>
    <row r="398" spans="1:26" ht="12.75" customHeight="1" x14ac:dyDescent="0.2">
      <c r="A398" s="78"/>
      <c r="B398" s="78"/>
      <c r="C398" s="78"/>
      <c r="D398" s="78"/>
      <c r="E398" s="78"/>
      <c r="F398" s="78"/>
      <c r="G398" s="78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  <c r="Z398" s="78"/>
    </row>
    <row r="399" spans="1:26" ht="12.75" customHeight="1" x14ac:dyDescent="0.2">
      <c r="A399" s="78"/>
      <c r="B399" s="78"/>
      <c r="C399" s="78"/>
      <c r="D399" s="78"/>
      <c r="E399" s="78"/>
      <c r="F399" s="78"/>
      <c r="G399" s="78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  <c r="Z399" s="78"/>
    </row>
    <row r="400" spans="1:26" ht="12.75" customHeight="1" x14ac:dyDescent="0.2">
      <c r="A400" s="78"/>
      <c r="B400" s="78"/>
      <c r="C400" s="78"/>
      <c r="D400" s="78"/>
      <c r="E400" s="78"/>
      <c r="F400" s="78"/>
      <c r="G400" s="78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  <c r="Z400" s="78"/>
    </row>
    <row r="401" spans="1:26" ht="12.75" customHeight="1" x14ac:dyDescent="0.2">
      <c r="A401" s="78"/>
      <c r="B401" s="78"/>
      <c r="C401" s="78"/>
      <c r="D401" s="78"/>
      <c r="E401" s="78"/>
      <c r="F401" s="78"/>
      <c r="G401" s="78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  <c r="Z401" s="78"/>
    </row>
    <row r="402" spans="1:26" ht="12.75" customHeight="1" x14ac:dyDescent="0.2">
      <c r="A402" s="78"/>
      <c r="B402" s="78"/>
      <c r="C402" s="78"/>
      <c r="D402" s="78"/>
      <c r="E402" s="78"/>
      <c r="F402" s="78"/>
      <c r="G402" s="78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  <c r="Z402" s="78"/>
    </row>
    <row r="403" spans="1:26" ht="12.75" customHeight="1" x14ac:dyDescent="0.2">
      <c r="A403" s="78"/>
      <c r="B403" s="78"/>
      <c r="C403" s="78"/>
      <c r="D403" s="78"/>
      <c r="E403" s="78"/>
      <c r="F403" s="78"/>
      <c r="G403" s="78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</row>
    <row r="404" spans="1:26" ht="12.75" customHeight="1" x14ac:dyDescent="0.2">
      <c r="A404" s="78"/>
      <c r="B404" s="78"/>
      <c r="C404" s="78"/>
      <c r="D404" s="78"/>
      <c r="E404" s="78"/>
      <c r="F404" s="78"/>
      <c r="G404" s="78"/>
      <c r="H404" s="78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  <c r="Z404" s="78"/>
    </row>
    <row r="405" spans="1:26" ht="12.75" customHeight="1" x14ac:dyDescent="0.2">
      <c r="A405" s="78"/>
      <c r="B405" s="78"/>
      <c r="C405" s="78"/>
      <c r="D405" s="78"/>
      <c r="E405" s="78"/>
      <c r="F405" s="78"/>
      <c r="G405" s="78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  <c r="Z405" s="78"/>
    </row>
    <row r="406" spans="1:26" ht="12.75" customHeight="1" x14ac:dyDescent="0.2">
      <c r="A406" s="78"/>
      <c r="B406" s="78"/>
      <c r="C406" s="78"/>
      <c r="D406" s="78"/>
      <c r="E406" s="78"/>
      <c r="F406" s="78"/>
      <c r="G406" s="78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  <c r="Z406" s="78"/>
    </row>
    <row r="407" spans="1:26" ht="12.75" customHeight="1" x14ac:dyDescent="0.2">
      <c r="A407" s="78"/>
      <c r="B407" s="78"/>
      <c r="C407" s="78"/>
      <c r="D407" s="78"/>
      <c r="E407" s="78"/>
      <c r="F407" s="78"/>
      <c r="G407" s="78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  <c r="Z407" s="78"/>
    </row>
    <row r="408" spans="1:26" ht="12.75" customHeight="1" x14ac:dyDescent="0.2">
      <c r="A408" s="78"/>
      <c r="B408" s="78"/>
      <c r="C408" s="78"/>
      <c r="D408" s="78"/>
      <c r="E408" s="78"/>
      <c r="F408" s="78"/>
      <c r="G408" s="78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  <c r="Z408" s="78"/>
    </row>
    <row r="409" spans="1:26" ht="12.75" customHeight="1" x14ac:dyDescent="0.2">
      <c r="A409" s="78"/>
      <c r="B409" s="78"/>
      <c r="C409" s="78"/>
      <c r="D409" s="78"/>
      <c r="E409" s="78"/>
      <c r="F409" s="78"/>
      <c r="G409" s="78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  <c r="Z409" s="78"/>
    </row>
    <row r="410" spans="1:26" ht="12.75" customHeight="1" x14ac:dyDescent="0.2">
      <c r="A410" s="78"/>
      <c r="B410" s="78"/>
      <c r="C410" s="78"/>
      <c r="D410" s="78"/>
      <c r="E410" s="78"/>
      <c r="F410" s="78"/>
      <c r="G410" s="78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  <c r="Z410" s="78"/>
    </row>
    <row r="411" spans="1:26" ht="12.75" customHeight="1" x14ac:dyDescent="0.2">
      <c r="A411" s="78"/>
      <c r="B411" s="78"/>
      <c r="C411" s="78"/>
      <c r="D411" s="78"/>
      <c r="E411" s="78"/>
      <c r="F411" s="78"/>
      <c r="G411" s="78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  <c r="Z411" s="78"/>
    </row>
    <row r="412" spans="1:26" ht="12.75" customHeight="1" x14ac:dyDescent="0.2">
      <c r="A412" s="78"/>
      <c r="B412" s="78"/>
      <c r="C412" s="78"/>
      <c r="D412" s="78"/>
      <c r="E412" s="78"/>
      <c r="F412" s="78"/>
      <c r="G412" s="78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  <c r="Z412" s="78"/>
    </row>
    <row r="413" spans="1:26" ht="12.75" customHeight="1" x14ac:dyDescent="0.2">
      <c r="A413" s="78"/>
      <c r="B413" s="78"/>
      <c r="C413" s="78"/>
      <c r="D413" s="78"/>
      <c r="E413" s="78"/>
      <c r="F413" s="78"/>
      <c r="G413" s="78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</row>
    <row r="414" spans="1:26" ht="12.75" customHeight="1" x14ac:dyDescent="0.2">
      <c r="A414" s="78"/>
      <c r="B414" s="78"/>
      <c r="C414" s="78"/>
      <c r="D414" s="78"/>
      <c r="E414" s="78"/>
      <c r="F414" s="78"/>
      <c r="G414" s="78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  <c r="Z414" s="78"/>
    </row>
    <row r="415" spans="1:26" ht="12.75" customHeight="1" x14ac:dyDescent="0.2">
      <c r="A415" s="78"/>
      <c r="B415" s="78"/>
      <c r="C415" s="78"/>
      <c r="D415" s="78"/>
      <c r="E415" s="78"/>
      <c r="F415" s="78"/>
      <c r="G415" s="78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  <c r="Z415" s="78"/>
    </row>
    <row r="416" spans="1:26" ht="12.75" customHeight="1" x14ac:dyDescent="0.2">
      <c r="A416" s="78"/>
      <c r="B416" s="78"/>
      <c r="C416" s="78"/>
      <c r="D416" s="78"/>
      <c r="E416" s="78"/>
      <c r="F416" s="78"/>
      <c r="G416" s="78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  <c r="Z416" s="78"/>
    </row>
    <row r="417" spans="1:26" ht="12.75" customHeight="1" x14ac:dyDescent="0.2">
      <c r="A417" s="78"/>
      <c r="B417" s="78"/>
      <c r="C417" s="78"/>
      <c r="D417" s="78"/>
      <c r="E417" s="78"/>
      <c r="F417" s="78"/>
      <c r="G417" s="78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  <c r="Z417" s="78"/>
    </row>
    <row r="418" spans="1:26" ht="12.75" customHeight="1" x14ac:dyDescent="0.2">
      <c r="A418" s="78"/>
      <c r="B418" s="78"/>
      <c r="C418" s="78"/>
      <c r="D418" s="78"/>
      <c r="E418" s="78"/>
      <c r="F418" s="78"/>
      <c r="G418" s="78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  <c r="Z418" s="78"/>
    </row>
    <row r="419" spans="1:26" ht="12.75" customHeight="1" x14ac:dyDescent="0.2">
      <c r="A419" s="78"/>
      <c r="B419" s="78"/>
      <c r="C419" s="78"/>
      <c r="D419" s="78"/>
      <c r="E419" s="78"/>
      <c r="F419" s="78"/>
      <c r="G419" s="78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  <c r="Z419" s="78"/>
    </row>
    <row r="420" spans="1:26" ht="12.75" customHeight="1" x14ac:dyDescent="0.2">
      <c r="A420" s="78"/>
      <c r="B420" s="78"/>
      <c r="C420" s="78"/>
      <c r="D420" s="78"/>
      <c r="E420" s="78"/>
      <c r="F420" s="78"/>
      <c r="G420" s="78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  <c r="Z420" s="78"/>
    </row>
    <row r="421" spans="1:26" ht="12.75" customHeight="1" x14ac:dyDescent="0.2">
      <c r="A421" s="78"/>
      <c r="B421" s="78"/>
      <c r="C421" s="78"/>
      <c r="D421" s="78"/>
      <c r="E421" s="78"/>
      <c r="F421" s="78"/>
      <c r="G421" s="78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  <c r="Z421" s="78"/>
    </row>
    <row r="422" spans="1:26" ht="12.75" customHeight="1" x14ac:dyDescent="0.2">
      <c r="A422" s="78"/>
      <c r="B422" s="78"/>
      <c r="C422" s="78"/>
      <c r="D422" s="78"/>
      <c r="E422" s="78"/>
      <c r="F422" s="78"/>
      <c r="G422" s="78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  <c r="Z422" s="78"/>
    </row>
    <row r="423" spans="1:26" ht="12.75" customHeight="1" x14ac:dyDescent="0.2">
      <c r="A423" s="78"/>
      <c r="B423" s="78"/>
      <c r="C423" s="78"/>
      <c r="D423" s="78"/>
      <c r="E423" s="78"/>
      <c r="F423" s="78"/>
      <c r="G423" s="78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  <c r="Z423" s="78"/>
    </row>
    <row r="424" spans="1:26" ht="12.75" customHeight="1" x14ac:dyDescent="0.2">
      <c r="A424" s="78"/>
      <c r="B424" s="78"/>
      <c r="C424" s="78"/>
      <c r="D424" s="78"/>
      <c r="E424" s="78"/>
      <c r="F424" s="78"/>
      <c r="G424" s="78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  <c r="Z424" s="78"/>
    </row>
    <row r="425" spans="1:26" ht="12.75" customHeight="1" x14ac:dyDescent="0.2">
      <c r="A425" s="78"/>
      <c r="B425" s="78"/>
      <c r="C425" s="78"/>
      <c r="D425" s="78"/>
      <c r="E425" s="78"/>
      <c r="F425" s="78"/>
      <c r="G425" s="78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  <c r="Z425" s="78"/>
    </row>
    <row r="426" spans="1:26" ht="12.75" customHeight="1" x14ac:dyDescent="0.2">
      <c r="A426" s="78"/>
      <c r="B426" s="78"/>
      <c r="C426" s="78"/>
      <c r="D426" s="78"/>
      <c r="E426" s="78"/>
      <c r="F426" s="78"/>
      <c r="G426" s="78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  <c r="Z426" s="78"/>
    </row>
    <row r="427" spans="1:26" ht="12.75" customHeight="1" x14ac:dyDescent="0.2">
      <c r="A427" s="78"/>
      <c r="B427" s="78"/>
      <c r="C427" s="78"/>
      <c r="D427" s="78"/>
      <c r="E427" s="78"/>
      <c r="F427" s="78"/>
      <c r="G427" s="78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</row>
    <row r="428" spans="1:26" ht="12.75" customHeight="1" x14ac:dyDescent="0.2">
      <c r="A428" s="78"/>
      <c r="B428" s="78"/>
      <c r="C428" s="78"/>
      <c r="D428" s="78"/>
      <c r="E428" s="78"/>
      <c r="F428" s="78"/>
      <c r="G428" s="78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  <c r="Z428" s="78"/>
    </row>
    <row r="429" spans="1:26" ht="12.75" customHeight="1" x14ac:dyDescent="0.2">
      <c r="A429" s="78"/>
      <c r="B429" s="78"/>
      <c r="C429" s="78"/>
      <c r="D429" s="78"/>
      <c r="E429" s="78"/>
      <c r="F429" s="78"/>
      <c r="G429" s="78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</row>
    <row r="430" spans="1:26" ht="12.75" customHeight="1" x14ac:dyDescent="0.2">
      <c r="A430" s="78"/>
      <c r="B430" s="78"/>
      <c r="C430" s="78"/>
      <c r="D430" s="78"/>
      <c r="E430" s="78"/>
      <c r="F430" s="78"/>
      <c r="G430" s="78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  <c r="Z430" s="78"/>
    </row>
    <row r="431" spans="1:26" ht="12.75" customHeight="1" x14ac:dyDescent="0.2">
      <c r="A431" s="78"/>
      <c r="B431" s="78"/>
      <c r="C431" s="78"/>
      <c r="D431" s="78"/>
      <c r="E431" s="78"/>
      <c r="F431" s="78"/>
      <c r="G431" s="78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  <c r="Z431" s="78"/>
    </row>
    <row r="432" spans="1:26" ht="12.75" customHeight="1" x14ac:dyDescent="0.2">
      <c r="A432" s="78"/>
      <c r="B432" s="78"/>
      <c r="C432" s="78"/>
      <c r="D432" s="78"/>
      <c r="E432" s="78"/>
      <c r="F432" s="78"/>
      <c r="G432" s="78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</row>
    <row r="433" spans="1:26" ht="12.75" customHeight="1" x14ac:dyDescent="0.2">
      <c r="A433" s="78"/>
      <c r="B433" s="78"/>
      <c r="C433" s="78"/>
      <c r="D433" s="78"/>
      <c r="E433" s="78"/>
      <c r="F433" s="78"/>
      <c r="G433" s="78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  <c r="Z433" s="78"/>
    </row>
    <row r="434" spans="1:26" ht="12.75" customHeight="1" x14ac:dyDescent="0.2">
      <c r="A434" s="78"/>
      <c r="B434" s="78"/>
      <c r="C434" s="78"/>
      <c r="D434" s="78"/>
      <c r="E434" s="78"/>
      <c r="F434" s="78"/>
      <c r="G434" s="78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  <c r="Z434" s="78"/>
    </row>
    <row r="435" spans="1:26" ht="12.75" customHeight="1" x14ac:dyDescent="0.2">
      <c r="A435" s="78"/>
      <c r="B435" s="78"/>
      <c r="C435" s="78"/>
      <c r="D435" s="78"/>
      <c r="E435" s="78"/>
      <c r="F435" s="78"/>
      <c r="G435" s="78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  <c r="Z435" s="78"/>
    </row>
    <row r="436" spans="1:26" ht="12.75" customHeight="1" x14ac:dyDescent="0.2">
      <c r="A436" s="78"/>
      <c r="B436" s="78"/>
      <c r="C436" s="78"/>
      <c r="D436" s="78"/>
      <c r="E436" s="78"/>
      <c r="F436" s="78"/>
      <c r="G436" s="78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  <c r="Z436" s="78"/>
    </row>
    <row r="437" spans="1:26" ht="12.75" customHeight="1" x14ac:dyDescent="0.2">
      <c r="A437" s="78"/>
      <c r="B437" s="78"/>
      <c r="C437" s="78"/>
      <c r="D437" s="78"/>
      <c r="E437" s="78"/>
      <c r="F437" s="78"/>
      <c r="G437" s="78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  <c r="Z437" s="78"/>
    </row>
    <row r="438" spans="1:26" ht="12.75" customHeight="1" x14ac:dyDescent="0.2">
      <c r="A438" s="78"/>
      <c r="B438" s="78"/>
      <c r="C438" s="78"/>
      <c r="D438" s="78"/>
      <c r="E438" s="78"/>
      <c r="F438" s="78"/>
      <c r="G438" s="78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  <c r="Z438" s="78"/>
    </row>
    <row r="439" spans="1:26" ht="12.75" customHeight="1" x14ac:dyDescent="0.2">
      <c r="A439" s="78"/>
      <c r="B439" s="78"/>
      <c r="C439" s="78"/>
      <c r="D439" s="78"/>
      <c r="E439" s="78"/>
      <c r="F439" s="78"/>
      <c r="G439" s="78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  <c r="Z439" s="78"/>
    </row>
    <row r="440" spans="1:26" ht="12.75" customHeight="1" x14ac:dyDescent="0.2">
      <c r="A440" s="78"/>
      <c r="B440" s="78"/>
      <c r="C440" s="78"/>
      <c r="D440" s="78"/>
      <c r="E440" s="78"/>
      <c r="F440" s="78"/>
      <c r="G440" s="78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</row>
    <row r="441" spans="1:26" ht="12.75" customHeight="1" x14ac:dyDescent="0.2">
      <c r="A441" s="78"/>
      <c r="B441" s="78"/>
      <c r="C441" s="78"/>
      <c r="D441" s="78"/>
      <c r="E441" s="78"/>
      <c r="F441" s="78"/>
      <c r="G441" s="78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  <c r="Z441" s="78"/>
    </row>
    <row r="442" spans="1:26" ht="12.75" customHeight="1" x14ac:dyDescent="0.2">
      <c r="A442" s="78"/>
      <c r="B442" s="78"/>
      <c r="C442" s="78"/>
      <c r="D442" s="78"/>
      <c r="E442" s="78"/>
      <c r="F442" s="78"/>
      <c r="G442" s="78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  <c r="Z442" s="78"/>
    </row>
    <row r="443" spans="1:26" ht="12.75" customHeight="1" x14ac:dyDescent="0.2">
      <c r="A443" s="78"/>
      <c r="B443" s="78"/>
      <c r="C443" s="78"/>
      <c r="D443" s="78"/>
      <c r="E443" s="78"/>
      <c r="F443" s="78"/>
      <c r="G443" s="78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</row>
    <row r="444" spans="1:26" ht="12.75" customHeight="1" x14ac:dyDescent="0.2">
      <c r="A444" s="78"/>
      <c r="B444" s="78"/>
      <c r="C444" s="78"/>
      <c r="D444" s="78"/>
      <c r="E444" s="78"/>
      <c r="F444" s="78"/>
      <c r="G444" s="78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  <c r="Z444" s="78"/>
    </row>
    <row r="445" spans="1:26" ht="12.75" customHeight="1" x14ac:dyDescent="0.2">
      <c r="A445" s="78"/>
      <c r="B445" s="78"/>
      <c r="C445" s="78"/>
      <c r="D445" s="78"/>
      <c r="E445" s="78"/>
      <c r="F445" s="78"/>
      <c r="G445" s="78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  <c r="Z445" s="78"/>
    </row>
    <row r="446" spans="1:26" ht="12.75" customHeight="1" x14ac:dyDescent="0.2">
      <c r="A446" s="78"/>
      <c r="B446" s="78"/>
      <c r="C446" s="78"/>
      <c r="D446" s="78"/>
      <c r="E446" s="78"/>
      <c r="F446" s="78"/>
      <c r="G446" s="78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  <c r="Z446" s="78"/>
    </row>
    <row r="447" spans="1:26" ht="12.75" customHeight="1" x14ac:dyDescent="0.2">
      <c r="A447" s="78"/>
      <c r="B447" s="78"/>
      <c r="C447" s="78"/>
      <c r="D447" s="78"/>
      <c r="E447" s="78"/>
      <c r="F447" s="78"/>
      <c r="G447" s="78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  <c r="Z447" s="78"/>
    </row>
    <row r="448" spans="1:26" ht="12.75" customHeight="1" x14ac:dyDescent="0.2">
      <c r="A448" s="78"/>
      <c r="B448" s="78"/>
      <c r="C448" s="78"/>
      <c r="D448" s="78"/>
      <c r="E448" s="78"/>
      <c r="F448" s="78"/>
      <c r="G448" s="78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  <c r="Z448" s="78"/>
    </row>
    <row r="449" spans="1:26" ht="12.75" customHeight="1" x14ac:dyDescent="0.2">
      <c r="A449" s="78"/>
      <c r="B449" s="78"/>
      <c r="C449" s="78"/>
      <c r="D449" s="78"/>
      <c r="E449" s="78"/>
      <c r="F449" s="78"/>
      <c r="G449" s="78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  <c r="Z449" s="78"/>
    </row>
    <row r="450" spans="1:26" ht="12.75" customHeight="1" x14ac:dyDescent="0.2">
      <c r="A450" s="78"/>
      <c r="B450" s="78"/>
      <c r="C450" s="78"/>
      <c r="D450" s="78"/>
      <c r="E450" s="78"/>
      <c r="F450" s="78"/>
      <c r="G450" s="78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  <c r="Z450" s="78"/>
    </row>
    <row r="451" spans="1:26" ht="12.75" customHeight="1" x14ac:dyDescent="0.2">
      <c r="A451" s="78"/>
      <c r="B451" s="78"/>
      <c r="C451" s="78"/>
      <c r="D451" s="78"/>
      <c r="E451" s="78"/>
      <c r="F451" s="78"/>
      <c r="G451" s="78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  <c r="Z451" s="78"/>
    </row>
    <row r="452" spans="1:26" ht="12.75" customHeight="1" x14ac:dyDescent="0.2">
      <c r="A452" s="78"/>
      <c r="B452" s="78"/>
      <c r="C452" s="78"/>
      <c r="D452" s="78"/>
      <c r="E452" s="78"/>
      <c r="F452" s="78"/>
      <c r="G452" s="78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  <c r="Z452" s="78"/>
    </row>
    <row r="453" spans="1:26" ht="12.75" customHeight="1" x14ac:dyDescent="0.2">
      <c r="A453" s="78"/>
      <c r="B453" s="78"/>
      <c r="C453" s="78"/>
      <c r="D453" s="78"/>
      <c r="E453" s="78"/>
      <c r="F453" s="78"/>
      <c r="G453" s="78"/>
      <c r="H453" s="78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  <c r="Z453" s="78"/>
    </row>
    <row r="454" spans="1:26" ht="12.75" customHeight="1" x14ac:dyDescent="0.2">
      <c r="A454" s="78"/>
      <c r="B454" s="78"/>
      <c r="C454" s="78"/>
      <c r="D454" s="78"/>
      <c r="E454" s="78"/>
      <c r="F454" s="78"/>
      <c r="G454" s="78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  <c r="Z454" s="78"/>
    </row>
    <row r="455" spans="1:26" ht="12.75" customHeight="1" x14ac:dyDescent="0.2">
      <c r="A455" s="78"/>
      <c r="B455" s="78"/>
      <c r="C455" s="78"/>
      <c r="D455" s="78"/>
      <c r="E455" s="78"/>
      <c r="F455" s="78"/>
      <c r="G455" s="78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  <c r="Z455" s="78"/>
    </row>
    <row r="456" spans="1:26" ht="12.75" customHeight="1" x14ac:dyDescent="0.2">
      <c r="A456" s="78"/>
      <c r="B456" s="78"/>
      <c r="C456" s="78"/>
      <c r="D456" s="78"/>
      <c r="E456" s="78"/>
      <c r="F456" s="78"/>
      <c r="G456" s="78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  <c r="Z456" s="78"/>
    </row>
    <row r="457" spans="1:26" ht="12.75" customHeight="1" x14ac:dyDescent="0.2">
      <c r="A457" s="78"/>
      <c r="B457" s="78"/>
      <c r="C457" s="78"/>
      <c r="D457" s="78"/>
      <c r="E457" s="78"/>
      <c r="F457" s="78"/>
      <c r="G457" s="78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  <c r="Z457" s="78"/>
    </row>
    <row r="458" spans="1:26" ht="12.75" customHeight="1" x14ac:dyDescent="0.2">
      <c r="A458" s="78"/>
      <c r="B458" s="78"/>
      <c r="C458" s="78"/>
      <c r="D458" s="78"/>
      <c r="E458" s="78"/>
      <c r="F458" s="78"/>
      <c r="G458" s="78"/>
      <c r="H458" s="78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  <c r="Z458" s="78"/>
    </row>
    <row r="459" spans="1:26" ht="12.75" customHeight="1" x14ac:dyDescent="0.2">
      <c r="A459" s="78"/>
      <c r="B459" s="78"/>
      <c r="C459" s="78"/>
      <c r="D459" s="78"/>
      <c r="E459" s="78"/>
      <c r="F459" s="78"/>
      <c r="G459" s="78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  <c r="Z459" s="78"/>
    </row>
    <row r="460" spans="1:26" ht="12.75" customHeight="1" x14ac:dyDescent="0.2">
      <c r="A460" s="78"/>
      <c r="B460" s="78"/>
      <c r="C460" s="78"/>
      <c r="D460" s="78"/>
      <c r="E460" s="78"/>
      <c r="F460" s="78"/>
      <c r="G460" s="78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  <c r="Z460" s="78"/>
    </row>
    <row r="461" spans="1:26" ht="12.75" customHeight="1" x14ac:dyDescent="0.2">
      <c r="A461" s="78"/>
      <c r="B461" s="78"/>
      <c r="C461" s="78"/>
      <c r="D461" s="78"/>
      <c r="E461" s="78"/>
      <c r="F461" s="78"/>
      <c r="G461" s="78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  <c r="Z461" s="78"/>
    </row>
    <row r="462" spans="1:26" ht="12.75" customHeight="1" x14ac:dyDescent="0.2">
      <c r="A462" s="78"/>
      <c r="B462" s="78"/>
      <c r="C462" s="78"/>
      <c r="D462" s="78"/>
      <c r="E462" s="78"/>
      <c r="F462" s="78"/>
      <c r="G462" s="78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  <c r="Z462" s="78"/>
    </row>
    <row r="463" spans="1:26" ht="12.75" customHeight="1" x14ac:dyDescent="0.2">
      <c r="A463" s="78"/>
      <c r="B463" s="78"/>
      <c r="C463" s="78"/>
      <c r="D463" s="78"/>
      <c r="E463" s="78"/>
      <c r="F463" s="78"/>
      <c r="G463" s="78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  <c r="Z463" s="78"/>
    </row>
    <row r="464" spans="1:26" ht="12.75" customHeight="1" x14ac:dyDescent="0.2">
      <c r="A464" s="78"/>
      <c r="B464" s="78"/>
      <c r="C464" s="78"/>
      <c r="D464" s="78"/>
      <c r="E464" s="78"/>
      <c r="F464" s="78"/>
      <c r="G464" s="78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  <c r="Z464" s="78"/>
    </row>
    <row r="465" spans="1:26" ht="12.75" customHeight="1" x14ac:dyDescent="0.2">
      <c r="A465" s="78"/>
      <c r="B465" s="78"/>
      <c r="C465" s="78"/>
      <c r="D465" s="78"/>
      <c r="E465" s="78"/>
      <c r="F465" s="78"/>
      <c r="G465" s="78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  <c r="Z465" s="78"/>
    </row>
    <row r="466" spans="1:26" ht="12.75" customHeight="1" x14ac:dyDescent="0.2">
      <c r="A466" s="78"/>
      <c r="B466" s="78"/>
      <c r="C466" s="78"/>
      <c r="D466" s="78"/>
      <c r="E466" s="78"/>
      <c r="F466" s="78"/>
      <c r="G466" s="78"/>
      <c r="H466" s="78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  <c r="Z466" s="78"/>
    </row>
    <row r="467" spans="1:26" ht="12.75" customHeight="1" x14ac:dyDescent="0.2">
      <c r="A467" s="78"/>
      <c r="B467" s="78"/>
      <c r="C467" s="78"/>
      <c r="D467" s="78"/>
      <c r="E467" s="78"/>
      <c r="F467" s="78"/>
      <c r="G467" s="78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  <c r="Z467" s="78"/>
    </row>
    <row r="468" spans="1:26" ht="12.75" customHeight="1" x14ac:dyDescent="0.2">
      <c r="A468" s="78"/>
      <c r="B468" s="78"/>
      <c r="C468" s="78"/>
      <c r="D468" s="78"/>
      <c r="E468" s="78"/>
      <c r="F468" s="78"/>
      <c r="G468" s="78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  <c r="Z468" s="78"/>
    </row>
    <row r="469" spans="1:26" ht="12.75" customHeight="1" x14ac:dyDescent="0.2">
      <c r="A469" s="78"/>
      <c r="B469" s="78"/>
      <c r="C469" s="78"/>
      <c r="D469" s="78"/>
      <c r="E469" s="78"/>
      <c r="F469" s="78"/>
      <c r="G469" s="78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  <c r="Z469" s="78"/>
    </row>
    <row r="470" spans="1:26" ht="12.75" customHeight="1" x14ac:dyDescent="0.2">
      <c r="A470" s="78"/>
      <c r="B470" s="78"/>
      <c r="C470" s="78"/>
      <c r="D470" s="78"/>
      <c r="E470" s="78"/>
      <c r="F470" s="78"/>
      <c r="G470" s="78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  <c r="Z470" s="78"/>
    </row>
    <row r="471" spans="1:26" ht="12.75" customHeight="1" x14ac:dyDescent="0.2">
      <c r="A471" s="78"/>
      <c r="B471" s="78"/>
      <c r="C471" s="78"/>
      <c r="D471" s="78"/>
      <c r="E471" s="78"/>
      <c r="F471" s="78"/>
      <c r="G471" s="78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  <c r="Z471" s="78"/>
    </row>
    <row r="472" spans="1:26" ht="12.75" customHeight="1" x14ac:dyDescent="0.2">
      <c r="A472" s="78"/>
      <c r="B472" s="78"/>
      <c r="C472" s="78"/>
      <c r="D472" s="78"/>
      <c r="E472" s="78"/>
      <c r="F472" s="78"/>
      <c r="G472" s="78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  <c r="Z472" s="78"/>
    </row>
    <row r="473" spans="1:26" ht="12.75" customHeight="1" x14ac:dyDescent="0.2">
      <c r="A473" s="78"/>
      <c r="B473" s="78"/>
      <c r="C473" s="78"/>
      <c r="D473" s="78"/>
      <c r="E473" s="78"/>
      <c r="F473" s="78"/>
      <c r="G473" s="78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  <c r="Z473" s="78"/>
    </row>
    <row r="474" spans="1:26" ht="12.75" customHeight="1" x14ac:dyDescent="0.2">
      <c r="A474" s="78"/>
      <c r="B474" s="78"/>
      <c r="C474" s="78"/>
      <c r="D474" s="78"/>
      <c r="E474" s="78"/>
      <c r="F474" s="78"/>
      <c r="G474" s="78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  <c r="Z474" s="78"/>
    </row>
    <row r="475" spans="1:26" ht="12.75" customHeight="1" x14ac:dyDescent="0.2">
      <c r="A475" s="78"/>
      <c r="B475" s="78"/>
      <c r="C475" s="78"/>
      <c r="D475" s="78"/>
      <c r="E475" s="78"/>
      <c r="F475" s="78"/>
      <c r="G475" s="78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  <c r="Z475" s="78"/>
    </row>
    <row r="476" spans="1:26" ht="12.75" customHeight="1" x14ac:dyDescent="0.2">
      <c r="A476" s="78"/>
      <c r="B476" s="78"/>
      <c r="C476" s="78"/>
      <c r="D476" s="78"/>
      <c r="E476" s="78"/>
      <c r="F476" s="78"/>
      <c r="G476" s="78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  <c r="Z476" s="78"/>
    </row>
    <row r="477" spans="1:26" ht="12.75" customHeight="1" x14ac:dyDescent="0.2">
      <c r="A477" s="78"/>
      <c r="B477" s="78"/>
      <c r="C477" s="78"/>
      <c r="D477" s="78"/>
      <c r="E477" s="78"/>
      <c r="F477" s="78"/>
      <c r="G477" s="78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  <c r="Z477" s="78"/>
    </row>
    <row r="478" spans="1:26" ht="12.75" customHeight="1" x14ac:dyDescent="0.2">
      <c r="A478" s="78"/>
      <c r="B478" s="78"/>
      <c r="C478" s="78"/>
      <c r="D478" s="78"/>
      <c r="E478" s="78"/>
      <c r="F478" s="78"/>
      <c r="G478" s="78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  <c r="Z478" s="78"/>
    </row>
    <row r="479" spans="1:26" ht="12.75" customHeight="1" x14ac:dyDescent="0.2">
      <c r="A479" s="78"/>
      <c r="B479" s="78"/>
      <c r="C479" s="78"/>
      <c r="D479" s="78"/>
      <c r="E479" s="78"/>
      <c r="F479" s="78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</row>
    <row r="480" spans="1:26" ht="12.75" customHeight="1" x14ac:dyDescent="0.2">
      <c r="A480" s="78"/>
      <c r="B480" s="78"/>
      <c r="C480" s="78"/>
      <c r="D480" s="78"/>
      <c r="E480" s="78"/>
      <c r="F480" s="78"/>
      <c r="G480" s="78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</row>
    <row r="481" spans="1:26" ht="12.75" customHeight="1" x14ac:dyDescent="0.2">
      <c r="A481" s="78"/>
      <c r="B481" s="78"/>
      <c r="C481" s="78"/>
      <c r="D481" s="78"/>
      <c r="E481" s="78"/>
      <c r="F481" s="78"/>
      <c r="G481" s="78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  <c r="Z481" s="78"/>
    </row>
    <row r="482" spans="1:26" ht="12.75" customHeight="1" x14ac:dyDescent="0.2">
      <c r="A482" s="78"/>
      <c r="B482" s="78"/>
      <c r="C482" s="78"/>
      <c r="D482" s="78"/>
      <c r="E482" s="78"/>
      <c r="F482" s="78"/>
      <c r="G482" s="78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  <c r="Z482" s="78"/>
    </row>
    <row r="483" spans="1:26" ht="12.75" customHeight="1" x14ac:dyDescent="0.2">
      <c r="A483" s="78"/>
      <c r="B483" s="78"/>
      <c r="C483" s="78"/>
      <c r="D483" s="78"/>
      <c r="E483" s="78"/>
      <c r="F483" s="78"/>
      <c r="G483" s="78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</row>
    <row r="484" spans="1:26" ht="12.75" customHeight="1" x14ac:dyDescent="0.2">
      <c r="A484" s="78"/>
      <c r="B484" s="78"/>
      <c r="C484" s="78"/>
      <c r="D484" s="78"/>
      <c r="E484" s="78"/>
      <c r="F484" s="78"/>
      <c r="G484" s="78"/>
      <c r="H484" s="78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  <c r="Z484" s="78"/>
    </row>
    <row r="485" spans="1:26" ht="12.75" customHeight="1" x14ac:dyDescent="0.2">
      <c r="A485" s="78"/>
      <c r="B485" s="78"/>
      <c r="C485" s="78"/>
      <c r="D485" s="78"/>
      <c r="E485" s="78"/>
      <c r="F485" s="78"/>
      <c r="G485" s="78"/>
      <c r="H485" s="78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  <c r="Z485" s="78"/>
    </row>
    <row r="486" spans="1:26" ht="12.75" customHeight="1" x14ac:dyDescent="0.2">
      <c r="A486" s="78"/>
      <c r="B486" s="78"/>
      <c r="C486" s="78"/>
      <c r="D486" s="78"/>
      <c r="E486" s="78"/>
      <c r="F486" s="78"/>
      <c r="G486" s="78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  <c r="Z486" s="78"/>
    </row>
    <row r="487" spans="1:26" ht="12.75" customHeight="1" x14ac:dyDescent="0.2">
      <c r="A487" s="78"/>
      <c r="B487" s="78"/>
      <c r="C487" s="78"/>
      <c r="D487" s="78"/>
      <c r="E487" s="78"/>
      <c r="F487" s="78"/>
      <c r="G487" s="78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  <c r="Z487" s="78"/>
    </row>
    <row r="488" spans="1:26" ht="12.75" customHeight="1" x14ac:dyDescent="0.2">
      <c r="A488" s="78"/>
      <c r="B488" s="78"/>
      <c r="C488" s="78"/>
      <c r="D488" s="78"/>
      <c r="E488" s="78"/>
      <c r="F488" s="78"/>
      <c r="G488" s="78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  <c r="Z488" s="78"/>
    </row>
    <row r="489" spans="1:26" ht="12.75" customHeight="1" x14ac:dyDescent="0.2">
      <c r="A489" s="78"/>
      <c r="B489" s="78"/>
      <c r="C489" s="78"/>
      <c r="D489" s="78"/>
      <c r="E489" s="78"/>
      <c r="F489" s="78"/>
      <c r="G489" s="78"/>
      <c r="H489" s="78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  <c r="Z489" s="78"/>
    </row>
    <row r="490" spans="1:26" ht="12.75" customHeight="1" x14ac:dyDescent="0.2">
      <c r="A490" s="78"/>
      <c r="B490" s="78"/>
      <c r="C490" s="78"/>
      <c r="D490" s="78"/>
      <c r="E490" s="78"/>
      <c r="F490" s="78"/>
      <c r="G490" s="78"/>
      <c r="H490" s="78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  <c r="Z490" s="78"/>
    </row>
    <row r="491" spans="1:26" ht="12.75" customHeight="1" x14ac:dyDescent="0.2">
      <c r="A491" s="78"/>
      <c r="B491" s="78"/>
      <c r="C491" s="78"/>
      <c r="D491" s="78"/>
      <c r="E491" s="78"/>
      <c r="F491" s="78"/>
      <c r="G491" s="78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  <c r="Z491" s="78"/>
    </row>
    <row r="492" spans="1:26" ht="12.75" customHeight="1" x14ac:dyDescent="0.2">
      <c r="A492" s="78"/>
      <c r="B492" s="78"/>
      <c r="C492" s="78"/>
      <c r="D492" s="78"/>
      <c r="E492" s="78"/>
      <c r="F492" s="78"/>
      <c r="G492" s="78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  <c r="Z492" s="78"/>
    </row>
    <row r="493" spans="1:26" ht="12.75" customHeight="1" x14ac:dyDescent="0.2">
      <c r="A493" s="78"/>
      <c r="B493" s="78"/>
      <c r="C493" s="78"/>
      <c r="D493" s="78"/>
      <c r="E493" s="78"/>
      <c r="F493" s="78"/>
      <c r="G493" s="78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  <c r="Z493" s="78"/>
    </row>
    <row r="494" spans="1:26" ht="12.75" customHeight="1" x14ac:dyDescent="0.2">
      <c r="A494" s="78"/>
      <c r="B494" s="78"/>
      <c r="C494" s="78"/>
      <c r="D494" s="78"/>
      <c r="E494" s="78"/>
      <c r="F494" s="78"/>
      <c r="G494" s="78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  <c r="Z494" s="78"/>
    </row>
    <row r="495" spans="1:26" ht="12.75" customHeight="1" x14ac:dyDescent="0.2">
      <c r="A495" s="78"/>
      <c r="B495" s="78"/>
      <c r="C495" s="78"/>
      <c r="D495" s="78"/>
      <c r="E495" s="78"/>
      <c r="F495" s="78"/>
      <c r="G495" s="78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  <c r="Z495" s="78"/>
    </row>
    <row r="496" spans="1:26" ht="12.75" customHeight="1" x14ac:dyDescent="0.2">
      <c r="A496" s="78"/>
      <c r="B496" s="78"/>
      <c r="C496" s="78"/>
      <c r="D496" s="78"/>
      <c r="E496" s="78"/>
      <c r="F496" s="78"/>
      <c r="G496" s="78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  <c r="Z496" s="78"/>
    </row>
    <row r="497" spans="1:26" ht="12.75" customHeight="1" x14ac:dyDescent="0.2">
      <c r="A497" s="78"/>
      <c r="B497" s="78"/>
      <c r="C497" s="78"/>
      <c r="D497" s="78"/>
      <c r="E497" s="78"/>
      <c r="F497" s="78"/>
      <c r="G497" s="78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  <c r="Z497" s="78"/>
    </row>
    <row r="498" spans="1:26" ht="12.75" customHeight="1" x14ac:dyDescent="0.2">
      <c r="A498" s="78"/>
      <c r="B498" s="78"/>
      <c r="C498" s="78"/>
      <c r="D498" s="78"/>
      <c r="E498" s="78"/>
      <c r="F498" s="78"/>
      <c r="G498" s="78"/>
      <c r="H498" s="78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  <c r="Z498" s="78"/>
    </row>
    <row r="499" spans="1:26" ht="12.75" customHeight="1" x14ac:dyDescent="0.2">
      <c r="A499" s="78"/>
      <c r="B499" s="78"/>
      <c r="C499" s="78"/>
      <c r="D499" s="78"/>
      <c r="E499" s="78"/>
      <c r="F499" s="78"/>
      <c r="G499" s="78"/>
      <c r="H499" s="78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  <c r="Z499" s="78"/>
    </row>
    <row r="500" spans="1:26" ht="12.75" customHeight="1" x14ac:dyDescent="0.2">
      <c r="A500" s="78"/>
      <c r="B500" s="78"/>
      <c r="C500" s="78"/>
      <c r="D500" s="78"/>
      <c r="E500" s="78"/>
      <c r="F500" s="78"/>
      <c r="G500" s="78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  <c r="Z500" s="78"/>
    </row>
    <row r="501" spans="1:26" ht="12.75" customHeight="1" x14ac:dyDescent="0.2">
      <c r="A501" s="78"/>
      <c r="B501" s="78"/>
      <c r="C501" s="78"/>
      <c r="D501" s="78"/>
      <c r="E501" s="78"/>
      <c r="F501" s="78"/>
      <c r="G501" s="78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  <c r="Z501" s="78"/>
    </row>
    <row r="502" spans="1:26" ht="12.75" customHeight="1" x14ac:dyDescent="0.2">
      <c r="A502" s="78"/>
      <c r="B502" s="78"/>
      <c r="C502" s="78"/>
      <c r="D502" s="78"/>
      <c r="E502" s="78"/>
      <c r="F502" s="78"/>
      <c r="G502" s="78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  <c r="Z502" s="78"/>
    </row>
    <row r="503" spans="1:26" ht="12.75" customHeight="1" x14ac:dyDescent="0.2">
      <c r="A503" s="78"/>
      <c r="B503" s="78"/>
      <c r="C503" s="78"/>
      <c r="D503" s="78"/>
      <c r="E503" s="78"/>
      <c r="F503" s="78"/>
      <c r="G503" s="78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  <c r="Z503" s="78"/>
    </row>
    <row r="504" spans="1:26" ht="12.75" customHeight="1" x14ac:dyDescent="0.2">
      <c r="A504" s="78"/>
      <c r="B504" s="78"/>
      <c r="C504" s="78"/>
      <c r="D504" s="78"/>
      <c r="E504" s="78"/>
      <c r="F504" s="78"/>
      <c r="G504" s="78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8"/>
      <c r="Z504" s="78"/>
    </row>
    <row r="505" spans="1:26" ht="12.75" customHeight="1" x14ac:dyDescent="0.2">
      <c r="A505" s="78"/>
      <c r="B505" s="78"/>
      <c r="C505" s="78"/>
      <c r="D505" s="78"/>
      <c r="E505" s="78"/>
      <c r="F505" s="78"/>
      <c r="G505" s="78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  <c r="Z505" s="78"/>
    </row>
    <row r="506" spans="1:26" ht="12.75" customHeight="1" x14ac:dyDescent="0.2">
      <c r="A506" s="78"/>
      <c r="B506" s="78"/>
      <c r="C506" s="78"/>
      <c r="D506" s="78"/>
      <c r="E506" s="78"/>
      <c r="F506" s="78"/>
      <c r="G506" s="78"/>
      <c r="H506" s="78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  <c r="Z506" s="78"/>
    </row>
    <row r="507" spans="1:26" ht="12.75" customHeight="1" x14ac:dyDescent="0.2">
      <c r="A507" s="78"/>
      <c r="B507" s="78"/>
      <c r="C507" s="78"/>
      <c r="D507" s="78"/>
      <c r="E507" s="78"/>
      <c r="F507" s="78"/>
      <c r="G507" s="78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  <c r="Z507" s="78"/>
    </row>
    <row r="508" spans="1:26" ht="12.75" customHeight="1" x14ac:dyDescent="0.2">
      <c r="A508" s="78"/>
      <c r="B508" s="78"/>
      <c r="C508" s="78"/>
      <c r="D508" s="78"/>
      <c r="E508" s="78"/>
      <c r="F508" s="78"/>
      <c r="G508" s="78"/>
      <c r="H508" s="78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  <c r="Z508" s="78"/>
    </row>
    <row r="509" spans="1:26" ht="12.75" customHeight="1" x14ac:dyDescent="0.2">
      <c r="A509" s="78"/>
      <c r="B509" s="78"/>
      <c r="C509" s="78"/>
      <c r="D509" s="78"/>
      <c r="E509" s="78"/>
      <c r="F509" s="78"/>
      <c r="G509" s="78"/>
      <c r="H509" s="78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  <c r="Z509" s="78"/>
    </row>
    <row r="510" spans="1:26" ht="12.75" customHeight="1" x14ac:dyDescent="0.2">
      <c r="A510" s="78"/>
      <c r="B510" s="78"/>
      <c r="C510" s="78"/>
      <c r="D510" s="78"/>
      <c r="E510" s="78"/>
      <c r="F510" s="78"/>
      <c r="G510" s="78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  <c r="Z510" s="78"/>
    </row>
    <row r="511" spans="1:26" ht="12.75" customHeight="1" x14ac:dyDescent="0.2">
      <c r="A511" s="78"/>
      <c r="B511" s="78"/>
      <c r="C511" s="78"/>
      <c r="D511" s="78"/>
      <c r="E511" s="78"/>
      <c r="F511" s="78"/>
      <c r="G511" s="78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  <c r="Z511" s="78"/>
    </row>
    <row r="512" spans="1:26" ht="12.75" customHeight="1" x14ac:dyDescent="0.2">
      <c r="A512" s="78"/>
      <c r="B512" s="78"/>
      <c r="C512" s="78"/>
      <c r="D512" s="78"/>
      <c r="E512" s="78"/>
      <c r="F512" s="78"/>
      <c r="G512" s="78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  <c r="Z512" s="78"/>
    </row>
    <row r="513" spans="1:26" ht="12.75" customHeight="1" x14ac:dyDescent="0.2">
      <c r="A513" s="78"/>
      <c r="B513" s="78"/>
      <c r="C513" s="78"/>
      <c r="D513" s="78"/>
      <c r="E513" s="78"/>
      <c r="F513" s="78"/>
      <c r="G513" s="78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  <c r="Z513" s="78"/>
    </row>
    <row r="514" spans="1:26" ht="12.75" customHeight="1" x14ac:dyDescent="0.2">
      <c r="A514" s="78"/>
      <c r="B514" s="78"/>
      <c r="C514" s="78"/>
      <c r="D514" s="78"/>
      <c r="E514" s="78"/>
      <c r="F514" s="78"/>
      <c r="G514" s="78"/>
      <c r="H514" s="78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  <c r="Z514" s="78"/>
    </row>
    <row r="515" spans="1:26" ht="12.75" customHeight="1" x14ac:dyDescent="0.2">
      <c r="A515" s="78"/>
      <c r="B515" s="78"/>
      <c r="C515" s="78"/>
      <c r="D515" s="78"/>
      <c r="E515" s="78"/>
      <c r="F515" s="78"/>
      <c r="G515" s="78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  <c r="Z515" s="78"/>
    </row>
    <row r="516" spans="1:26" ht="12.75" customHeight="1" x14ac:dyDescent="0.2">
      <c r="A516" s="78"/>
      <c r="B516" s="78"/>
      <c r="C516" s="78"/>
      <c r="D516" s="78"/>
      <c r="E516" s="78"/>
      <c r="F516" s="78"/>
      <c r="G516" s="78"/>
      <c r="H516" s="78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  <c r="Z516" s="78"/>
    </row>
    <row r="517" spans="1:26" ht="12.75" customHeight="1" x14ac:dyDescent="0.2">
      <c r="A517" s="78"/>
      <c r="B517" s="78"/>
      <c r="C517" s="78"/>
      <c r="D517" s="78"/>
      <c r="E517" s="78"/>
      <c r="F517" s="78"/>
      <c r="G517" s="78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  <c r="Z517" s="78"/>
    </row>
    <row r="518" spans="1:26" ht="12.75" customHeight="1" x14ac:dyDescent="0.2">
      <c r="A518" s="78"/>
      <c r="B518" s="78"/>
      <c r="C518" s="78"/>
      <c r="D518" s="78"/>
      <c r="E518" s="78"/>
      <c r="F518" s="78"/>
      <c r="G518" s="78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  <c r="Z518" s="78"/>
    </row>
    <row r="519" spans="1:26" ht="12.75" customHeight="1" x14ac:dyDescent="0.2">
      <c r="A519" s="78"/>
      <c r="B519" s="78"/>
      <c r="C519" s="78"/>
      <c r="D519" s="78"/>
      <c r="E519" s="78"/>
      <c r="F519" s="78"/>
      <c r="G519" s="78"/>
      <c r="H519" s="78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  <c r="Z519" s="78"/>
    </row>
    <row r="520" spans="1:26" ht="12.75" customHeight="1" x14ac:dyDescent="0.2">
      <c r="A520" s="78"/>
      <c r="B520" s="78"/>
      <c r="C520" s="78"/>
      <c r="D520" s="78"/>
      <c r="E520" s="78"/>
      <c r="F520" s="78"/>
      <c r="G520" s="78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  <c r="Z520" s="78"/>
    </row>
    <row r="521" spans="1:26" ht="12.75" customHeight="1" x14ac:dyDescent="0.2">
      <c r="A521" s="78"/>
      <c r="B521" s="78"/>
      <c r="C521" s="78"/>
      <c r="D521" s="78"/>
      <c r="E521" s="78"/>
      <c r="F521" s="78"/>
      <c r="G521" s="78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  <c r="Z521" s="78"/>
    </row>
    <row r="522" spans="1:26" ht="12.75" customHeight="1" x14ac:dyDescent="0.2">
      <c r="A522" s="78"/>
      <c r="B522" s="78"/>
      <c r="C522" s="78"/>
      <c r="D522" s="78"/>
      <c r="E522" s="78"/>
      <c r="F522" s="78"/>
      <c r="G522" s="78"/>
      <c r="H522" s="78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  <c r="Z522" s="78"/>
    </row>
    <row r="523" spans="1:26" ht="12.75" customHeight="1" x14ac:dyDescent="0.2">
      <c r="A523" s="78"/>
      <c r="B523" s="78"/>
      <c r="C523" s="78"/>
      <c r="D523" s="78"/>
      <c r="E523" s="78"/>
      <c r="F523" s="78"/>
      <c r="G523" s="78"/>
      <c r="H523" s="78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</row>
    <row r="524" spans="1:26" ht="12.75" customHeight="1" x14ac:dyDescent="0.2">
      <c r="A524" s="78"/>
      <c r="B524" s="78"/>
      <c r="C524" s="78"/>
      <c r="D524" s="78"/>
      <c r="E524" s="78"/>
      <c r="F524" s="78"/>
      <c r="G524" s="78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  <c r="Z524" s="78"/>
    </row>
    <row r="525" spans="1:26" ht="12.75" customHeight="1" x14ac:dyDescent="0.2">
      <c r="A525" s="78"/>
      <c r="B525" s="78"/>
      <c r="C525" s="78"/>
      <c r="D525" s="78"/>
      <c r="E525" s="78"/>
      <c r="F525" s="78"/>
      <c r="G525" s="78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  <c r="Z525" s="78"/>
    </row>
    <row r="526" spans="1:26" ht="12.75" customHeight="1" x14ac:dyDescent="0.2">
      <c r="A526" s="78"/>
      <c r="B526" s="78"/>
      <c r="C526" s="78"/>
      <c r="D526" s="78"/>
      <c r="E526" s="78"/>
      <c r="F526" s="78"/>
      <c r="G526" s="78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  <c r="Z526" s="78"/>
    </row>
    <row r="527" spans="1:26" ht="12.75" customHeight="1" x14ac:dyDescent="0.2">
      <c r="A527" s="78"/>
      <c r="B527" s="78"/>
      <c r="C527" s="78"/>
      <c r="D527" s="78"/>
      <c r="E527" s="78"/>
      <c r="F527" s="78"/>
      <c r="G527" s="78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8"/>
      <c r="Z527" s="78"/>
    </row>
    <row r="528" spans="1:26" ht="12.75" customHeight="1" x14ac:dyDescent="0.2">
      <c r="A528" s="78"/>
      <c r="B528" s="78"/>
      <c r="C528" s="78"/>
      <c r="D528" s="78"/>
      <c r="E528" s="78"/>
      <c r="F528" s="78"/>
      <c r="G528" s="78"/>
      <c r="H528" s="78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  <c r="Z528" s="78"/>
    </row>
    <row r="529" spans="1:26" ht="12.75" customHeight="1" x14ac:dyDescent="0.2">
      <c r="A529" s="78"/>
      <c r="B529" s="78"/>
      <c r="C529" s="78"/>
      <c r="D529" s="78"/>
      <c r="E529" s="78"/>
      <c r="F529" s="78"/>
      <c r="G529" s="78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  <c r="Z529" s="78"/>
    </row>
    <row r="530" spans="1:26" ht="12.75" customHeight="1" x14ac:dyDescent="0.2">
      <c r="A530" s="78"/>
      <c r="B530" s="78"/>
      <c r="C530" s="78"/>
      <c r="D530" s="78"/>
      <c r="E530" s="78"/>
      <c r="F530" s="78"/>
      <c r="G530" s="78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  <c r="Z530" s="78"/>
    </row>
    <row r="531" spans="1:26" ht="12.75" customHeight="1" x14ac:dyDescent="0.2">
      <c r="A531" s="78"/>
      <c r="B531" s="78"/>
      <c r="C531" s="78"/>
      <c r="D531" s="78"/>
      <c r="E531" s="78"/>
      <c r="F531" s="78"/>
      <c r="G531" s="78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  <c r="Z531" s="78"/>
    </row>
    <row r="532" spans="1:26" ht="12.75" customHeight="1" x14ac:dyDescent="0.2">
      <c r="A532" s="78"/>
      <c r="B532" s="78"/>
      <c r="C532" s="78"/>
      <c r="D532" s="78"/>
      <c r="E532" s="78"/>
      <c r="F532" s="78"/>
      <c r="G532" s="78"/>
      <c r="H532" s="78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  <c r="Z532" s="78"/>
    </row>
    <row r="533" spans="1:26" ht="12.75" customHeight="1" x14ac:dyDescent="0.2">
      <c r="A533" s="78"/>
      <c r="B533" s="78"/>
      <c r="C533" s="78"/>
      <c r="D533" s="78"/>
      <c r="E533" s="78"/>
      <c r="F533" s="78"/>
      <c r="G533" s="78"/>
      <c r="H533" s="78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  <c r="Z533" s="78"/>
    </row>
    <row r="534" spans="1:26" ht="12.75" customHeight="1" x14ac:dyDescent="0.2">
      <c r="A534" s="78"/>
      <c r="B534" s="78"/>
      <c r="C534" s="78"/>
      <c r="D534" s="78"/>
      <c r="E534" s="78"/>
      <c r="F534" s="78"/>
      <c r="G534" s="78"/>
      <c r="H534" s="78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  <c r="Z534" s="78"/>
    </row>
    <row r="535" spans="1:26" ht="12.75" customHeight="1" x14ac:dyDescent="0.2">
      <c r="A535" s="78"/>
      <c r="B535" s="78"/>
      <c r="C535" s="78"/>
      <c r="D535" s="78"/>
      <c r="E535" s="78"/>
      <c r="F535" s="78"/>
      <c r="G535" s="78"/>
      <c r="H535" s="78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  <c r="Z535" s="78"/>
    </row>
    <row r="536" spans="1:26" ht="12.75" customHeight="1" x14ac:dyDescent="0.2">
      <c r="A536" s="78"/>
      <c r="B536" s="78"/>
      <c r="C536" s="78"/>
      <c r="D536" s="78"/>
      <c r="E536" s="78"/>
      <c r="F536" s="78"/>
      <c r="G536" s="78"/>
      <c r="H536" s="78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  <c r="Z536" s="78"/>
    </row>
    <row r="537" spans="1:26" ht="12.75" customHeight="1" x14ac:dyDescent="0.2">
      <c r="A537" s="78"/>
      <c r="B537" s="78"/>
      <c r="C537" s="78"/>
      <c r="D537" s="78"/>
      <c r="E537" s="78"/>
      <c r="F537" s="78"/>
      <c r="G537" s="78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  <c r="Z537" s="78"/>
    </row>
    <row r="538" spans="1:26" ht="12.75" customHeight="1" x14ac:dyDescent="0.2">
      <c r="A538" s="78"/>
      <c r="B538" s="78"/>
      <c r="C538" s="78"/>
      <c r="D538" s="78"/>
      <c r="E538" s="78"/>
      <c r="F538" s="78"/>
      <c r="G538" s="78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  <c r="Z538" s="78"/>
    </row>
    <row r="539" spans="1:26" ht="12.75" customHeight="1" x14ac:dyDescent="0.2">
      <c r="A539" s="78"/>
      <c r="B539" s="78"/>
      <c r="C539" s="78"/>
      <c r="D539" s="78"/>
      <c r="E539" s="78"/>
      <c r="F539" s="78"/>
      <c r="G539" s="78"/>
      <c r="H539" s="78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  <c r="Z539" s="78"/>
    </row>
    <row r="540" spans="1:26" ht="12.75" customHeight="1" x14ac:dyDescent="0.2">
      <c r="A540" s="78"/>
      <c r="B540" s="78"/>
      <c r="C540" s="78"/>
      <c r="D540" s="78"/>
      <c r="E540" s="78"/>
      <c r="F540" s="78"/>
      <c r="G540" s="78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  <c r="Z540" s="78"/>
    </row>
    <row r="541" spans="1:26" ht="12.75" customHeight="1" x14ac:dyDescent="0.2">
      <c r="A541" s="78"/>
      <c r="B541" s="78"/>
      <c r="C541" s="78"/>
      <c r="D541" s="78"/>
      <c r="E541" s="78"/>
      <c r="F541" s="78"/>
      <c r="G541" s="78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</row>
    <row r="542" spans="1:26" ht="12.75" customHeight="1" x14ac:dyDescent="0.2">
      <c r="A542" s="78"/>
      <c r="B542" s="78"/>
      <c r="C542" s="78"/>
      <c r="D542" s="78"/>
      <c r="E542" s="78"/>
      <c r="F542" s="78"/>
      <c r="G542" s="78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  <c r="Z542" s="78"/>
    </row>
    <row r="543" spans="1:26" ht="12.75" customHeight="1" x14ac:dyDescent="0.2">
      <c r="A543" s="78"/>
      <c r="B543" s="78"/>
      <c r="C543" s="78"/>
      <c r="D543" s="78"/>
      <c r="E543" s="78"/>
      <c r="F543" s="78"/>
      <c r="G543" s="78"/>
      <c r="H543" s="78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  <c r="Z543" s="78"/>
    </row>
    <row r="544" spans="1:26" ht="12.75" customHeight="1" x14ac:dyDescent="0.2">
      <c r="A544" s="78"/>
      <c r="B544" s="78"/>
      <c r="C544" s="78"/>
      <c r="D544" s="78"/>
      <c r="E544" s="78"/>
      <c r="F544" s="78"/>
      <c r="G544" s="78"/>
      <c r="H544" s="78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  <c r="Z544" s="78"/>
    </row>
    <row r="545" spans="1:26" ht="12.75" customHeight="1" x14ac:dyDescent="0.2">
      <c r="A545" s="78"/>
      <c r="B545" s="78"/>
      <c r="C545" s="78"/>
      <c r="D545" s="78"/>
      <c r="E545" s="78"/>
      <c r="F545" s="78"/>
      <c r="G545" s="78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8"/>
      <c r="Z545" s="78"/>
    </row>
    <row r="546" spans="1:26" ht="12.75" customHeight="1" x14ac:dyDescent="0.2">
      <c r="A546" s="78"/>
      <c r="B546" s="78"/>
      <c r="C546" s="78"/>
      <c r="D546" s="78"/>
      <c r="E546" s="78"/>
      <c r="F546" s="78"/>
      <c r="G546" s="78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  <c r="Z546" s="78"/>
    </row>
    <row r="547" spans="1:26" ht="12.75" customHeight="1" x14ac:dyDescent="0.2">
      <c r="A547" s="78"/>
      <c r="B547" s="78"/>
      <c r="C547" s="78"/>
      <c r="D547" s="78"/>
      <c r="E547" s="78"/>
      <c r="F547" s="78"/>
      <c r="G547" s="78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8"/>
      <c r="Z547" s="78"/>
    </row>
    <row r="548" spans="1:26" ht="12.75" customHeight="1" x14ac:dyDescent="0.2">
      <c r="A548" s="78"/>
      <c r="B548" s="78"/>
      <c r="C548" s="78"/>
      <c r="D548" s="78"/>
      <c r="E548" s="78"/>
      <c r="F548" s="78"/>
      <c r="G548" s="78"/>
      <c r="H548" s="78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  <c r="Z548" s="78"/>
    </row>
    <row r="549" spans="1:26" ht="12.75" customHeight="1" x14ac:dyDescent="0.2">
      <c r="A549" s="78"/>
      <c r="B549" s="78"/>
      <c r="C549" s="78"/>
      <c r="D549" s="78"/>
      <c r="E549" s="78"/>
      <c r="F549" s="78"/>
      <c r="G549" s="78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  <c r="Z549" s="78"/>
    </row>
    <row r="550" spans="1:26" ht="12.75" customHeight="1" x14ac:dyDescent="0.2">
      <c r="A550" s="78"/>
      <c r="B550" s="78"/>
      <c r="C550" s="78"/>
      <c r="D550" s="78"/>
      <c r="E550" s="78"/>
      <c r="F550" s="78"/>
      <c r="G550" s="78"/>
      <c r="H550" s="78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  <c r="Z550" s="78"/>
    </row>
    <row r="551" spans="1:26" ht="12.75" customHeight="1" x14ac:dyDescent="0.2">
      <c r="A551" s="78"/>
      <c r="B551" s="78"/>
      <c r="C551" s="78"/>
      <c r="D551" s="78"/>
      <c r="E551" s="78"/>
      <c r="F551" s="78"/>
      <c r="G551" s="78"/>
      <c r="H551" s="78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  <c r="Z551" s="78"/>
    </row>
    <row r="552" spans="1:26" ht="12.75" customHeight="1" x14ac:dyDescent="0.2">
      <c r="A552" s="78"/>
      <c r="B552" s="78"/>
      <c r="C552" s="78"/>
      <c r="D552" s="78"/>
      <c r="E552" s="78"/>
      <c r="F552" s="78"/>
      <c r="G552" s="78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  <c r="Z552" s="78"/>
    </row>
    <row r="553" spans="1:26" ht="12.75" customHeight="1" x14ac:dyDescent="0.2">
      <c r="A553" s="78"/>
      <c r="B553" s="78"/>
      <c r="C553" s="78"/>
      <c r="D553" s="78"/>
      <c r="E553" s="78"/>
      <c r="F553" s="78"/>
      <c r="G553" s="78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  <c r="Z553" s="78"/>
    </row>
    <row r="554" spans="1:26" ht="12.75" customHeight="1" x14ac:dyDescent="0.2">
      <c r="A554" s="78"/>
      <c r="B554" s="78"/>
      <c r="C554" s="78"/>
      <c r="D554" s="78"/>
      <c r="E554" s="78"/>
      <c r="F554" s="78"/>
      <c r="G554" s="78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  <c r="Z554" s="78"/>
    </row>
    <row r="555" spans="1:26" ht="12.75" customHeight="1" x14ac:dyDescent="0.2">
      <c r="A555" s="78"/>
      <c r="B555" s="78"/>
      <c r="C555" s="78"/>
      <c r="D555" s="78"/>
      <c r="E555" s="78"/>
      <c r="F555" s="78"/>
      <c r="G555" s="78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  <c r="Z555" s="78"/>
    </row>
    <row r="556" spans="1:26" ht="12.75" customHeight="1" x14ac:dyDescent="0.2">
      <c r="A556" s="78"/>
      <c r="B556" s="78"/>
      <c r="C556" s="78"/>
      <c r="D556" s="78"/>
      <c r="E556" s="78"/>
      <c r="F556" s="78"/>
      <c r="G556" s="78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  <c r="Z556" s="78"/>
    </row>
    <row r="557" spans="1:26" ht="12.75" customHeight="1" x14ac:dyDescent="0.2">
      <c r="A557" s="78"/>
      <c r="B557" s="78"/>
      <c r="C557" s="78"/>
      <c r="D557" s="78"/>
      <c r="E557" s="78"/>
      <c r="F557" s="78"/>
      <c r="G557" s="78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  <c r="Z557" s="78"/>
    </row>
    <row r="558" spans="1:26" ht="12.75" customHeight="1" x14ac:dyDescent="0.2">
      <c r="A558" s="78"/>
      <c r="B558" s="78"/>
      <c r="C558" s="78"/>
      <c r="D558" s="78"/>
      <c r="E558" s="78"/>
      <c r="F558" s="78"/>
      <c r="G558" s="78"/>
      <c r="H558" s="78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8"/>
      <c r="Z558" s="78"/>
    </row>
    <row r="559" spans="1:26" ht="12.75" customHeight="1" x14ac:dyDescent="0.2">
      <c r="A559" s="78"/>
      <c r="B559" s="78"/>
      <c r="C559" s="78"/>
      <c r="D559" s="78"/>
      <c r="E559" s="78"/>
      <c r="F559" s="78"/>
      <c r="G559" s="78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  <c r="Z559" s="78"/>
    </row>
    <row r="560" spans="1:26" ht="12.75" customHeight="1" x14ac:dyDescent="0.2">
      <c r="A560" s="78"/>
      <c r="B560" s="78"/>
      <c r="C560" s="78"/>
      <c r="D560" s="78"/>
      <c r="E560" s="78"/>
      <c r="F560" s="78"/>
      <c r="G560" s="78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8"/>
      <c r="Z560" s="78"/>
    </row>
    <row r="561" spans="1:26" ht="12.75" customHeight="1" x14ac:dyDescent="0.2">
      <c r="A561" s="78"/>
      <c r="B561" s="78"/>
      <c r="C561" s="78"/>
      <c r="D561" s="78"/>
      <c r="E561" s="78"/>
      <c r="F561" s="78"/>
      <c r="G561" s="78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  <c r="Z561" s="78"/>
    </row>
    <row r="562" spans="1:26" ht="12.75" customHeight="1" x14ac:dyDescent="0.2">
      <c r="A562" s="78"/>
      <c r="B562" s="78"/>
      <c r="C562" s="78"/>
      <c r="D562" s="78"/>
      <c r="E562" s="78"/>
      <c r="F562" s="78"/>
      <c r="G562" s="78"/>
      <c r="H562" s="78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  <c r="Z562" s="78"/>
    </row>
    <row r="563" spans="1:26" ht="12.75" customHeight="1" x14ac:dyDescent="0.2">
      <c r="A563" s="78"/>
      <c r="B563" s="78"/>
      <c r="C563" s="78"/>
      <c r="D563" s="78"/>
      <c r="E563" s="78"/>
      <c r="F563" s="78"/>
      <c r="G563" s="78"/>
      <c r="H563" s="78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</row>
    <row r="564" spans="1:26" ht="12.75" customHeight="1" x14ac:dyDescent="0.2">
      <c r="A564" s="78"/>
      <c r="B564" s="78"/>
      <c r="C564" s="78"/>
      <c r="D564" s="78"/>
      <c r="E564" s="78"/>
      <c r="F564" s="78"/>
      <c r="G564" s="78"/>
      <c r="H564" s="78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  <c r="Z564" s="78"/>
    </row>
    <row r="565" spans="1:26" ht="12.75" customHeight="1" x14ac:dyDescent="0.2">
      <c r="A565" s="78"/>
      <c r="B565" s="78"/>
      <c r="C565" s="78"/>
      <c r="D565" s="78"/>
      <c r="E565" s="78"/>
      <c r="F565" s="78"/>
      <c r="G565" s="78"/>
      <c r="H565" s="78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  <c r="Z565" s="78"/>
    </row>
    <row r="566" spans="1:26" ht="12.75" customHeight="1" x14ac:dyDescent="0.2">
      <c r="A566" s="78"/>
      <c r="B566" s="78"/>
      <c r="C566" s="78"/>
      <c r="D566" s="78"/>
      <c r="E566" s="78"/>
      <c r="F566" s="78"/>
      <c r="G566" s="78"/>
      <c r="H566" s="78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8"/>
      <c r="Z566" s="78"/>
    </row>
    <row r="567" spans="1:26" ht="12.75" customHeight="1" x14ac:dyDescent="0.2">
      <c r="A567" s="78"/>
      <c r="B567" s="78"/>
      <c r="C567" s="78"/>
      <c r="D567" s="78"/>
      <c r="E567" s="78"/>
      <c r="F567" s="78"/>
      <c r="G567" s="78"/>
      <c r="H567" s="78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8"/>
      <c r="Z567" s="78"/>
    </row>
    <row r="568" spans="1:26" ht="12.75" customHeight="1" x14ac:dyDescent="0.2">
      <c r="A568" s="78"/>
      <c r="B568" s="78"/>
      <c r="C568" s="78"/>
      <c r="D568" s="78"/>
      <c r="E568" s="78"/>
      <c r="F568" s="78"/>
      <c r="G568" s="78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8"/>
      <c r="Z568" s="78"/>
    </row>
    <row r="569" spans="1:26" ht="12.75" customHeight="1" x14ac:dyDescent="0.2">
      <c r="A569" s="78"/>
      <c r="B569" s="78"/>
      <c r="C569" s="78"/>
      <c r="D569" s="78"/>
      <c r="E569" s="78"/>
      <c r="F569" s="78"/>
      <c r="G569" s="78"/>
      <c r="H569" s="78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  <c r="Z569" s="78"/>
    </row>
    <row r="570" spans="1:26" ht="12.75" customHeight="1" x14ac:dyDescent="0.2">
      <c r="A570" s="78"/>
      <c r="B570" s="78"/>
      <c r="C570" s="78"/>
      <c r="D570" s="78"/>
      <c r="E570" s="78"/>
      <c r="F570" s="78"/>
      <c r="G570" s="78"/>
      <c r="H570" s="78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  <c r="Z570" s="78"/>
    </row>
    <row r="571" spans="1:26" ht="12.75" customHeight="1" x14ac:dyDescent="0.2">
      <c r="A571" s="78"/>
      <c r="B571" s="78"/>
      <c r="C571" s="78"/>
      <c r="D571" s="78"/>
      <c r="E571" s="78"/>
      <c r="F571" s="78"/>
      <c r="G571" s="78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  <c r="Z571" s="78"/>
    </row>
    <row r="572" spans="1:26" ht="12.75" customHeight="1" x14ac:dyDescent="0.2">
      <c r="A572" s="78"/>
      <c r="B572" s="78"/>
      <c r="C572" s="78"/>
      <c r="D572" s="78"/>
      <c r="E572" s="78"/>
      <c r="F572" s="78"/>
      <c r="G572" s="78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  <c r="Z572" s="78"/>
    </row>
    <row r="573" spans="1:26" ht="12.75" customHeight="1" x14ac:dyDescent="0.2">
      <c r="A573" s="78"/>
      <c r="B573" s="78"/>
      <c r="C573" s="78"/>
      <c r="D573" s="78"/>
      <c r="E573" s="78"/>
      <c r="F573" s="78"/>
      <c r="G573" s="78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  <c r="Z573" s="78"/>
    </row>
    <row r="574" spans="1:26" ht="12.75" customHeight="1" x14ac:dyDescent="0.2">
      <c r="A574" s="78"/>
      <c r="B574" s="78"/>
      <c r="C574" s="78"/>
      <c r="D574" s="78"/>
      <c r="E574" s="78"/>
      <c r="F574" s="78"/>
      <c r="G574" s="78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  <c r="Z574" s="78"/>
    </row>
    <row r="575" spans="1:26" ht="12.75" customHeight="1" x14ac:dyDescent="0.2">
      <c r="A575" s="78"/>
      <c r="B575" s="78"/>
      <c r="C575" s="78"/>
      <c r="D575" s="78"/>
      <c r="E575" s="78"/>
      <c r="F575" s="78"/>
      <c r="G575" s="78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  <c r="Z575" s="78"/>
    </row>
    <row r="576" spans="1:26" ht="12.75" customHeight="1" x14ac:dyDescent="0.2">
      <c r="A576" s="78"/>
      <c r="B576" s="78"/>
      <c r="C576" s="78"/>
      <c r="D576" s="78"/>
      <c r="E576" s="78"/>
      <c r="F576" s="78"/>
      <c r="G576" s="78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  <c r="Z576" s="78"/>
    </row>
    <row r="577" spans="1:26" ht="12.75" customHeight="1" x14ac:dyDescent="0.2">
      <c r="A577" s="78"/>
      <c r="B577" s="78"/>
      <c r="C577" s="78"/>
      <c r="D577" s="78"/>
      <c r="E577" s="78"/>
      <c r="F577" s="78"/>
      <c r="G577" s="78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  <c r="Z577" s="78"/>
    </row>
    <row r="578" spans="1:26" ht="12.75" customHeight="1" x14ac:dyDescent="0.2">
      <c r="A578" s="78"/>
      <c r="B578" s="78"/>
      <c r="C578" s="78"/>
      <c r="D578" s="78"/>
      <c r="E578" s="78"/>
      <c r="F578" s="78"/>
      <c r="G578" s="78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  <c r="Z578" s="78"/>
    </row>
    <row r="579" spans="1:26" ht="12.75" customHeight="1" x14ac:dyDescent="0.2">
      <c r="A579" s="78"/>
      <c r="B579" s="78"/>
      <c r="C579" s="78"/>
      <c r="D579" s="78"/>
      <c r="E579" s="78"/>
      <c r="F579" s="78"/>
      <c r="G579" s="78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  <c r="Z579" s="78"/>
    </row>
    <row r="580" spans="1:26" ht="12.75" customHeight="1" x14ac:dyDescent="0.2">
      <c r="A580" s="78"/>
      <c r="B580" s="78"/>
      <c r="C580" s="78"/>
      <c r="D580" s="78"/>
      <c r="E580" s="78"/>
      <c r="F580" s="78"/>
      <c r="G580" s="78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  <c r="Z580" s="78"/>
    </row>
    <row r="581" spans="1:26" ht="12.75" customHeight="1" x14ac:dyDescent="0.2">
      <c r="A581" s="78"/>
      <c r="B581" s="78"/>
      <c r="C581" s="78"/>
      <c r="D581" s="78"/>
      <c r="E581" s="78"/>
      <c r="F581" s="78"/>
      <c r="G581" s="78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  <c r="Z581" s="78"/>
    </row>
    <row r="582" spans="1:26" ht="12.75" customHeight="1" x14ac:dyDescent="0.2">
      <c r="A582" s="78"/>
      <c r="B582" s="78"/>
      <c r="C582" s="78"/>
      <c r="D582" s="78"/>
      <c r="E582" s="78"/>
      <c r="F582" s="78"/>
      <c r="G582" s="78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</row>
    <row r="583" spans="1:26" ht="12.75" customHeight="1" x14ac:dyDescent="0.2">
      <c r="A583" s="78"/>
      <c r="B583" s="78"/>
      <c r="C583" s="78"/>
      <c r="D583" s="78"/>
      <c r="E583" s="78"/>
      <c r="F583" s="78"/>
      <c r="G583" s="78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  <c r="Z583" s="78"/>
    </row>
    <row r="584" spans="1:26" ht="12.75" customHeight="1" x14ac:dyDescent="0.2">
      <c r="A584" s="78"/>
      <c r="B584" s="78"/>
      <c r="C584" s="78"/>
      <c r="D584" s="78"/>
      <c r="E584" s="78"/>
      <c r="F584" s="78"/>
      <c r="G584" s="78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  <c r="Z584" s="78"/>
    </row>
    <row r="585" spans="1:26" ht="12.75" customHeight="1" x14ac:dyDescent="0.2">
      <c r="A585" s="78"/>
      <c r="B585" s="78"/>
      <c r="C585" s="78"/>
      <c r="D585" s="78"/>
      <c r="E585" s="78"/>
      <c r="F585" s="78"/>
      <c r="G585" s="78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  <c r="Z585" s="78"/>
    </row>
    <row r="586" spans="1:26" ht="12.75" customHeight="1" x14ac:dyDescent="0.2">
      <c r="A586" s="78"/>
      <c r="B586" s="78"/>
      <c r="C586" s="78"/>
      <c r="D586" s="78"/>
      <c r="E586" s="78"/>
      <c r="F586" s="78"/>
      <c r="G586" s="78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  <c r="Z586" s="78"/>
    </row>
    <row r="587" spans="1:26" ht="12.75" customHeight="1" x14ac:dyDescent="0.2">
      <c r="A587" s="78"/>
      <c r="B587" s="78"/>
      <c r="C587" s="78"/>
      <c r="D587" s="78"/>
      <c r="E587" s="78"/>
      <c r="F587" s="78"/>
      <c r="G587" s="78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  <c r="Z587" s="78"/>
    </row>
    <row r="588" spans="1:26" ht="12.75" customHeight="1" x14ac:dyDescent="0.2">
      <c r="A588" s="78"/>
      <c r="B588" s="78"/>
      <c r="C588" s="78"/>
      <c r="D588" s="78"/>
      <c r="E588" s="78"/>
      <c r="F588" s="78"/>
      <c r="G588" s="78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  <c r="Z588" s="78"/>
    </row>
    <row r="589" spans="1:26" ht="12.75" customHeight="1" x14ac:dyDescent="0.2">
      <c r="A589" s="78"/>
      <c r="B589" s="78"/>
      <c r="C589" s="78"/>
      <c r="D589" s="78"/>
      <c r="E589" s="78"/>
      <c r="F589" s="78"/>
      <c r="G589" s="78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  <c r="Z589" s="78"/>
    </row>
    <row r="590" spans="1:26" ht="12.75" customHeight="1" x14ac:dyDescent="0.2">
      <c r="A590" s="78"/>
      <c r="B590" s="78"/>
      <c r="C590" s="78"/>
      <c r="D590" s="78"/>
      <c r="E590" s="78"/>
      <c r="F590" s="78"/>
      <c r="G590" s="78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  <c r="Z590" s="78"/>
    </row>
    <row r="591" spans="1:26" ht="12.75" customHeight="1" x14ac:dyDescent="0.2">
      <c r="A591" s="78"/>
      <c r="B591" s="78"/>
      <c r="C591" s="78"/>
      <c r="D591" s="78"/>
      <c r="E591" s="78"/>
      <c r="F591" s="78"/>
      <c r="G591" s="78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  <c r="Z591" s="78"/>
    </row>
    <row r="592" spans="1:26" ht="12.75" customHeight="1" x14ac:dyDescent="0.2">
      <c r="A592" s="78"/>
      <c r="B592" s="78"/>
      <c r="C592" s="78"/>
      <c r="D592" s="78"/>
      <c r="E592" s="78"/>
      <c r="F592" s="78"/>
      <c r="G592" s="78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  <c r="Z592" s="78"/>
    </row>
    <row r="593" spans="1:26" ht="12.75" customHeight="1" x14ac:dyDescent="0.2">
      <c r="A593" s="78"/>
      <c r="B593" s="78"/>
      <c r="C593" s="78"/>
      <c r="D593" s="78"/>
      <c r="E593" s="78"/>
      <c r="F593" s="78"/>
      <c r="G593" s="78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  <c r="Z593" s="78"/>
    </row>
    <row r="594" spans="1:26" ht="12.75" customHeight="1" x14ac:dyDescent="0.2">
      <c r="A594" s="78"/>
      <c r="B594" s="78"/>
      <c r="C594" s="78"/>
      <c r="D594" s="78"/>
      <c r="E594" s="78"/>
      <c r="F594" s="78"/>
      <c r="G594" s="78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</row>
    <row r="595" spans="1:26" ht="12.75" customHeight="1" x14ac:dyDescent="0.2">
      <c r="A595" s="78"/>
      <c r="B595" s="78"/>
      <c r="C595" s="78"/>
      <c r="D595" s="78"/>
      <c r="E595" s="78"/>
      <c r="F595" s="78"/>
      <c r="G595" s="78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</row>
    <row r="596" spans="1:26" ht="12.75" customHeight="1" x14ac:dyDescent="0.2">
      <c r="A596" s="78"/>
      <c r="B596" s="78"/>
      <c r="C596" s="78"/>
      <c r="D596" s="78"/>
      <c r="E596" s="78"/>
      <c r="F596" s="78"/>
      <c r="G596" s="78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  <c r="Z596" s="78"/>
    </row>
    <row r="597" spans="1:26" ht="12.75" customHeight="1" x14ac:dyDescent="0.2">
      <c r="A597" s="78"/>
      <c r="B597" s="78"/>
      <c r="C597" s="78"/>
      <c r="D597" s="78"/>
      <c r="E597" s="78"/>
      <c r="F597" s="78"/>
      <c r="G597" s="78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  <c r="Z597" s="78"/>
    </row>
    <row r="598" spans="1:26" ht="12.75" customHeight="1" x14ac:dyDescent="0.2">
      <c r="A598" s="78"/>
      <c r="B598" s="78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</row>
    <row r="599" spans="1:26" ht="12.75" customHeight="1" x14ac:dyDescent="0.2">
      <c r="A599" s="78"/>
      <c r="B599" s="78"/>
      <c r="C599" s="78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</row>
    <row r="600" spans="1:26" ht="12.75" customHeight="1" x14ac:dyDescent="0.2">
      <c r="A600" s="78"/>
      <c r="B600" s="78"/>
      <c r="C600" s="78"/>
      <c r="D600" s="78"/>
      <c r="E600" s="78"/>
      <c r="F600" s="78"/>
      <c r="G600" s="78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  <c r="Z600" s="78"/>
    </row>
    <row r="601" spans="1:26" ht="12.75" customHeight="1" x14ac:dyDescent="0.2">
      <c r="A601" s="78"/>
      <c r="B601" s="78"/>
      <c r="C601" s="78"/>
      <c r="D601" s="78"/>
      <c r="E601" s="78"/>
      <c r="F601" s="78"/>
      <c r="G601" s="78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  <c r="Z601" s="78"/>
    </row>
    <row r="602" spans="1:26" ht="12.75" customHeight="1" x14ac:dyDescent="0.2">
      <c r="A602" s="78"/>
      <c r="B602" s="78"/>
      <c r="C602" s="78"/>
      <c r="D602" s="78"/>
      <c r="E602" s="78"/>
      <c r="F602" s="78"/>
      <c r="G602" s="78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  <c r="Z602" s="78"/>
    </row>
    <row r="603" spans="1:26" ht="12.75" customHeight="1" x14ac:dyDescent="0.2">
      <c r="A603" s="78"/>
      <c r="B603" s="78"/>
      <c r="C603" s="78"/>
      <c r="D603" s="78"/>
      <c r="E603" s="78"/>
      <c r="F603" s="78"/>
      <c r="G603" s="78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</row>
    <row r="604" spans="1:26" ht="12.75" customHeight="1" x14ac:dyDescent="0.2">
      <c r="A604" s="78"/>
      <c r="B604" s="78"/>
      <c r="C604" s="78"/>
      <c r="D604" s="78"/>
      <c r="E604" s="78"/>
      <c r="F604" s="78"/>
      <c r="G604" s="78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  <c r="Z604" s="78"/>
    </row>
    <row r="605" spans="1:26" ht="12.75" customHeight="1" x14ac:dyDescent="0.2">
      <c r="A605" s="78"/>
      <c r="B605" s="78"/>
      <c r="C605" s="78"/>
      <c r="D605" s="78"/>
      <c r="E605" s="78"/>
      <c r="F605" s="78"/>
      <c r="G605" s="78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</row>
    <row r="606" spans="1:26" ht="12.75" customHeight="1" x14ac:dyDescent="0.2">
      <c r="A606" s="78"/>
      <c r="B606" s="78"/>
      <c r="C606" s="78"/>
      <c r="D606" s="78"/>
      <c r="E606" s="78"/>
      <c r="F606" s="78"/>
      <c r="G606" s="78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  <c r="Z606" s="78"/>
    </row>
    <row r="607" spans="1:26" ht="12.75" customHeight="1" x14ac:dyDescent="0.2">
      <c r="A607" s="78"/>
      <c r="B607" s="78"/>
      <c r="C607" s="78"/>
      <c r="D607" s="78"/>
      <c r="E607" s="78"/>
      <c r="F607" s="78"/>
      <c r="G607" s="78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  <c r="Z607" s="78"/>
    </row>
    <row r="608" spans="1:26" ht="12.75" customHeight="1" x14ac:dyDescent="0.2">
      <c r="A608" s="78"/>
      <c r="B608" s="78"/>
      <c r="C608" s="78"/>
      <c r="D608" s="78"/>
      <c r="E608" s="78"/>
      <c r="F608" s="78"/>
      <c r="G608" s="78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  <c r="Z608" s="78"/>
    </row>
    <row r="609" spans="1:26" ht="12.75" customHeight="1" x14ac:dyDescent="0.2">
      <c r="A609" s="78"/>
      <c r="B609" s="78"/>
      <c r="C609" s="78"/>
      <c r="D609" s="78"/>
      <c r="E609" s="78"/>
      <c r="F609" s="78"/>
      <c r="G609" s="78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  <c r="Z609" s="78"/>
    </row>
    <row r="610" spans="1:26" ht="12.75" customHeight="1" x14ac:dyDescent="0.2">
      <c r="A610" s="78"/>
      <c r="B610" s="78"/>
      <c r="C610" s="78"/>
      <c r="D610" s="78"/>
      <c r="E610" s="78"/>
      <c r="F610" s="78"/>
      <c r="G610" s="78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  <c r="Z610" s="78"/>
    </row>
    <row r="611" spans="1:26" ht="12.75" customHeight="1" x14ac:dyDescent="0.2">
      <c r="A611" s="78"/>
      <c r="B611" s="78"/>
      <c r="C611" s="78"/>
      <c r="D611" s="78"/>
      <c r="E611" s="78"/>
      <c r="F611" s="78"/>
      <c r="G611" s="78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  <c r="Z611" s="78"/>
    </row>
    <row r="612" spans="1:26" ht="12.75" customHeight="1" x14ac:dyDescent="0.2">
      <c r="A612" s="78"/>
      <c r="B612" s="78"/>
      <c r="C612" s="78"/>
      <c r="D612" s="78"/>
      <c r="E612" s="78"/>
      <c r="F612" s="78"/>
      <c r="G612" s="78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  <c r="Z612" s="78"/>
    </row>
    <row r="613" spans="1:26" ht="12.75" customHeight="1" x14ac:dyDescent="0.2">
      <c r="A613" s="78"/>
      <c r="B613" s="78"/>
      <c r="C613" s="78"/>
      <c r="D613" s="78"/>
      <c r="E613" s="78"/>
      <c r="F613" s="78"/>
      <c r="G613" s="78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  <c r="Z613" s="78"/>
    </row>
    <row r="614" spans="1:26" ht="12.75" customHeight="1" x14ac:dyDescent="0.2">
      <c r="A614" s="78"/>
      <c r="B614" s="78"/>
      <c r="C614" s="78"/>
      <c r="D614" s="78"/>
      <c r="E614" s="78"/>
      <c r="F614" s="78"/>
      <c r="G614" s="78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  <c r="Z614" s="78"/>
    </row>
    <row r="615" spans="1:26" ht="12.75" customHeight="1" x14ac:dyDescent="0.2">
      <c r="A615" s="78"/>
      <c r="B615" s="78"/>
      <c r="C615" s="78"/>
      <c r="D615" s="78"/>
      <c r="E615" s="78"/>
      <c r="F615" s="78"/>
      <c r="G615" s="78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  <c r="Z615" s="78"/>
    </row>
    <row r="616" spans="1:26" ht="12.75" customHeight="1" x14ac:dyDescent="0.2">
      <c r="A616" s="78"/>
      <c r="B616" s="78"/>
      <c r="C616" s="78"/>
      <c r="D616" s="78"/>
      <c r="E616" s="78"/>
      <c r="F616" s="78"/>
      <c r="G616" s="78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  <c r="Z616" s="78"/>
    </row>
    <row r="617" spans="1:26" ht="12.75" customHeight="1" x14ac:dyDescent="0.2">
      <c r="A617" s="78"/>
      <c r="B617" s="78"/>
      <c r="C617" s="78"/>
      <c r="D617" s="78"/>
      <c r="E617" s="78"/>
      <c r="F617" s="78"/>
      <c r="G617" s="78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  <c r="Z617" s="78"/>
    </row>
    <row r="618" spans="1:26" ht="12.75" customHeight="1" x14ac:dyDescent="0.2">
      <c r="A618" s="78"/>
      <c r="B618" s="78"/>
      <c r="C618" s="78"/>
      <c r="D618" s="78"/>
      <c r="E618" s="78"/>
      <c r="F618" s="78"/>
      <c r="G618" s="78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  <c r="Z618" s="78"/>
    </row>
    <row r="619" spans="1:26" ht="12.75" customHeight="1" x14ac:dyDescent="0.2">
      <c r="A619" s="78"/>
      <c r="B619" s="78"/>
      <c r="C619" s="78"/>
      <c r="D619" s="78"/>
      <c r="E619" s="78"/>
      <c r="F619" s="78"/>
      <c r="G619" s="78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  <c r="Z619" s="78"/>
    </row>
    <row r="620" spans="1:26" ht="12.75" customHeight="1" x14ac:dyDescent="0.2">
      <c r="A620" s="78"/>
      <c r="B620" s="78"/>
      <c r="C620" s="78"/>
      <c r="D620" s="78"/>
      <c r="E620" s="78"/>
      <c r="F620" s="78"/>
      <c r="G620" s="78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  <c r="Z620" s="78"/>
    </row>
    <row r="621" spans="1:26" ht="12.75" customHeight="1" x14ac:dyDescent="0.2">
      <c r="A621" s="78"/>
      <c r="B621" s="78"/>
      <c r="C621" s="78"/>
      <c r="D621" s="78"/>
      <c r="E621" s="78"/>
      <c r="F621" s="78"/>
      <c r="G621" s="78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  <c r="Z621" s="78"/>
    </row>
    <row r="622" spans="1:26" ht="12.75" customHeight="1" x14ac:dyDescent="0.2">
      <c r="A622" s="78"/>
      <c r="B622" s="78"/>
      <c r="C622" s="78"/>
      <c r="D622" s="78"/>
      <c r="E622" s="78"/>
      <c r="F622" s="78"/>
      <c r="G622" s="78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  <c r="Z622" s="78"/>
    </row>
    <row r="623" spans="1:26" ht="12.75" customHeight="1" x14ac:dyDescent="0.2">
      <c r="A623" s="78"/>
      <c r="B623" s="78"/>
      <c r="C623" s="78"/>
      <c r="D623" s="78"/>
      <c r="E623" s="78"/>
      <c r="F623" s="78"/>
      <c r="G623" s="78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  <c r="Z623" s="78"/>
    </row>
    <row r="624" spans="1:26" ht="12.75" customHeight="1" x14ac:dyDescent="0.2">
      <c r="A624" s="78"/>
      <c r="B624" s="78"/>
      <c r="C624" s="78"/>
      <c r="D624" s="78"/>
      <c r="E624" s="78"/>
      <c r="F624" s="78"/>
      <c r="G624" s="78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  <c r="Z624" s="78"/>
    </row>
    <row r="625" spans="1:26" ht="12.75" customHeight="1" x14ac:dyDescent="0.2">
      <c r="A625" s="78"/>
      <c r="B625" s="78"/>
      <c r="C625" s="78"/>
      <c r="D625" s="78"/>
      <c r="E625" s="78"/>
      <c r="F625" s="78"/>
      <c r="G625" s="78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  <c r="Z625" s="78"/>
    </row>
    <row r="626" spans="1:26" ht="12.75" customHeight="1" x14ac:dyDescent="0.2">
      <c r="A626" s="78"/>
      <c r="B626" s="78"/>
      <c r="C626" s="78"/>
      <c r="D626" s="78"/>
      <c r="E626" s="78"/>
      <c r="F626" s="78"/>
      <c r="G626" s="78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  <c r="Z626" s="78"/>
    </row>
    <row r="627" spans="1:26" ht="12.75" customHeight="1" x14ac:dyDescent="0.2">
      <c r="A627" s="78"/>
      <c r="B627" s="78"/>
      <c r="C627" s="78"/>
      <c r="D627" s="78"/>
      <c r="E627" s="78"/>
      <c r="F627" s="78"/>
      <c r="G627" s="78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  <c r="Z627" s="78"/>
    </row>
    <row r="628" spans="1:26" ht="12.75" customHeight="1" x14ac:dyDescent="0.2">
      <c r="A628" s="78"/>
      <c r="B628" s="78"/>
      <c r="C628" s="78"/>
      <c r="D628" s="78"/>
      <c r="E628" s="78"/>
      <c r="F628" s="78"/>
      <c r="G628" s="78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  <c r="Z628" s="78"/>
    </row>
    <row r="629" spans="1:26" ht="12.75" customHeight="1" x14ac:dyDescent="0.2">
      <c r="A629" s="78"/>
      <c r="B629" s="78"/>
      <c r="C629" s="78"/>
      <c r="D629" s="78"/>
      <c r="E629" s="78"/>
      <c r="F629" s="78"/>
      <c r="G629" s="78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  <c r="Z629" s="78"/>
    </row>
    <row r="630" spans="1:26" ht="12.75" customHeight="1" x14ac:dyDescent="0.2">
      <c r="A630" s="78"/>
      <c r="B630" s="78"/>
      <c r="C630" s="78"/>
      <c r="D630" s="78"/>
      <c r="E630" s="78"/>
      <c r="F630" s="78"/>
      <c r="G630" s="78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  <c r="Z630" s="78"/>
    </row>
    <row r="631" spans="1:26" ht="12.75" customHeight="1" x14ac:dyDescent="0.2">
      <c r="A631" s="78"/>
      <c r="B631" s="78"/>
      <c r="C631" s="78"/>
      <c r="D631" s="78"/>
      <c r="E631" s="78"/>
      <c r="F631" s="78"/>
      <c r="G631" s="78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</row>
    <row r="632" spans="1:26" ht="12.75" customHeight="1" x14ac:dyDescent="0.2">
      <c r="A632" s="78"/>
      <c r="B632" s="78"/>
      <c r="C632" s="78"/>
      <c r="D632" s="78"/>
      <c r="E632" s="78"/>
      <c r="F632" s="78"/>
      <c r="G632" s="78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  <c r="Z632" s="78"/>
    </row>
    <row r="633" spans="1:26" ht="12.75" customHeight="1" x14ac:dyDescent="0.2">
      <c r="A633" s="78"/>
      <c r="B633" s="78"/>
      <c r="C633" s="78"/>
      <c r="D633" s="78"/>
      <c r="E633" s="78"/>
      <c r="F633" s="78"/>
      <c r="G633" s="78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  <c r="Z633" s="78"/>
    </row>
    <row r="634" spans="1:26" ht="12.75" customHeight="1" x14ac:dyDescent="0.2">
      <c r="A634" s="78"/>
      <c r="B634" s="78"/>
      <c r="C634" s="78"/>
      <c r="D634" s="78"/>
      <c r="E634" s="78"/>
      <c r="F634" s="78"/>
      <c r="G634" s="78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  <c r="Z634" s="78"/>
    </row>
    <row r="635" spans="1:26" ht="12.75" customHeight="1" x14ac:dyDescent="0.2">
      <c r="A635" s="78"/>
      <c r="B635" s="78"/>
      <c r="C635" s="78"/>
      <c r="D635" s="78"/>
      <c r="E635" s="78"/>
      <c r="F635" s="78"/>
      <c r="G635" s="78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  <c r="Z635" s="78"/>
    </row>
    <row r="636" spans="1:26" ht="12.75" customHeight="1" x14ac:dyDescent="0.2">
      <c r="A636" s="78"/>
      <c r="B636" s="78"/>
      <c r="C636" s="78"/>
      <c r="D636" s="78"/>
      <c r="E636" s="78"/>
      <c r="F636" s="78"/>
      <c r="G636" s="78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  <c r="Z636" s="78"/>
    </row>
    <row r="637" spans="1:26" ht="12.75" customHeight="1" x14ac:dyDescent="0.2">
      <c r="A637" s="78"/>
      <c r="B637" s="78"/>
      <c r="C637" s="78"/>
      <c r="D637" s="78"/>
      <c r="E637" s="78"/>
      <c r="F637" s="78"/>
      <c r="G637" s="78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  <c r="Z637" s="78"/>
    </row>
    <row r="638" spans="1:26" ht="12.75" customHeight="1" x14ac:dyDescent="0.2">
      <c r="A638" s="78"/>
      <c r="B638" s="78"/>
      <c r="C638" s="78"/>
      <c r="D638" s="78"/>
      <c r="E638" s="78"/>
      <c r="F638" s="78"/>
      <c r="G638" s="78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  <c r="Z638" s="78"/>
    </row>
    <row r="639" spans="1:26" ht="12.75" customHeight="1" x14ac:dyDescent="0.2">
      <c r="A639" s="78"/>
      <c r="B639" s="78"/>
      <c r="C639" s="78"/>
      <c r="D639" s="78"/>
      <c r="E639" s="78"/>
      <c r="F639" s="78"/>
      <c r="G639" s="78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  <c r="Z639" s="78"/>
    </row>
    <row r="640" spans="1:26" ht="12.75" customHeight="1" x14ac:dyDescent="0.2">
      <c r="A640" s="78"/>
      <c r="B640" s="78"/>
      <c r="C640" s="78"/>
      <c r="D640" s="78"/>
      <c r="E640" s="78"/>
      <c r="F640" s="78"/>
      <c r="G640" s="78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  <c r="Z640" s="78"/>
    </row>
    <row r="641" spans="1:26" ht="12.75" customHeight="1" x14ac:dyDescent="0.2">
      <c r="A641" s="78"/>
      <c r="B641" s="78"/>
      <c r="C641" s="78"/>
      <c r="D641" s="78"/>
      <c r="E641" s="78"/>
      <c r="F641" s="78"/>
      <c r="G641" s="78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  <c r="Z641" s="78"/>
    </row>
    <row r="642" spans="1:26" ht="12.75" customHeight="1" x14ac:dyDescent="0.2">
      <c r="A642" s="78"/>
      <c r="B642" s="78"/>
      <c r="C642" s="78"/>
      <c r="D642" s="78"/>
      <c r="E642" s="78"/>
      <c r="F642" s="78"/>
      <c r="G642" s="78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  <c r="Z642" s="78"/>
    </row>
    <row r="643" spans="1:26" ht="12.75" customHeight="1" x14ac:dyDescent="0.2">
      <c r="A643" s="78"/>
      <c r="B643" s="78"/>
      <c r="C643" s="78"/>
      <c r="D643" s="78"/>
      <c r="E643" s="78"/>
      <c r="F643" s="78"/>
      <c r="G643" s="78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</row>
    <row r="644" spans="1:26" ht="12.75" customHeight="1" x14ac:dyDescent="0.2">
      <c r="A644" s="78"/>
      <c r="B644" s="78"/>
      <c r="C644" s="78"/>
      <c r="D644" s="78"/>
      <c r="E644" s="78"/>
      <c r="F644" s="78"/>
      <c r="G644" s="78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  <c r="Z644" s="78"/>
    </row>
    <row r="645" spans="1:26" ht="12.75" customHeight="1" x14ac:dyDescent="0.2">
      <c r="A645" s="78"/>
      <c r="B645" s="78"/>
      <c r="C645" s="78"/>
      <c r="D645" s="78"/>
      <c r="E645" s="78"/>
      <c r="F645" s="78"/>
      <c r="G645" s="78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  <c r="Z645" s="78"/>
    </row>
    <row r="646" spans="1:26" ht="12.75" customHeight="1" x14ac:dyDescent="0.2">
      <c r="A646" s="78"/>
      <c r="B646" s="78"/>
      <c r="C646" s="78"/>
      <c r="D646" s="78"/>
      <c r="E646" s="78"/>
      <c r="F646" s="78"/>
      <c r="G646" s="78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  <c r="Z646" s="78"/>
    </row>
    <row r="647" spans="1:26" ht="12.75" customHeight="1" x14ac:dyDescent="0.2">
      <c r="A647" s="78"/>
      <c r="B647" s="78"/>
      <c r="C647" s="78"/>
      <c r="D647" s="78"/>
      <c r="E647" s="78"/>
      <c r="F647" s="78"/>
      <c r="G647" s="78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  <c r="Z647" s="78"/>
    </row>
    <row r="648" spans="1:26" ht="12.75" customHeight="1" x14ac:dyDescent="0.2">
      <c r="A648" s="78"/>
      <c r="B648" s="78"/>
      <c r="C648" s="78"/>
      <c r="D648" s="78"/>
      <c r="E648" s="78"/>
      <c r="F648" s="78"/>
      <c r="G648" s="78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  <c r="Z648" s="78"/>
    </row>
    <row r="649" spans="1:26" ht="12.75" customHeight="1" x14ac:dyDescent="0.2">
      <c r="A649" s="78"/>
      <c r="B649" s="78"/>
      <c r="C649" s="78"/>
      <c r="D649" s="78"/>
      <c r="E649" s="78"/>
      <c r="F649" s="78"/>
      <c r="G649" s="78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  <c r="Z649" s="78"/>
    </row>
    <row r="650" spans="1:26" ht="12.75" customHeight="1" x14ac:dyDescent="0.2">
      <c r="A650" s="78"/>
      <c r="B650" s="78"/>
      <c r="C650" s="78"/>
      <c r="D650" s="78"/>
      <c r="E650" s="78"/>
      <c r="F650" s="78"/>
      <c r="G650" s="78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  <c r="Z650" s="78"/>
    </row>
    <row r="651" spans="1:26" ht="12.75" customHeight="1" x14ac:dyDescent="0.2">
      <c r="A651" s="78"/>
      <c r="B651" s="78"/>
      <c r="C651" s="78"/>
      <c r="D651" s="78"/>
      <c r="E651" s="78"/>
      <c r="F651" s="78"/>
      <c r="G651" s="78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  <c r="Z651" s="78"/>
    </row>
    <row r="652" spans="1:26" ht="12.75" customHeight="1" x14ac:dyDescent="0.2">
      <c r="A652" s="78"/>
      <c r="B652" s="78"/>
      <c r="C652" s="78"/>
      <c r="D652" s="78"/>
      <c r="E652" s="78"/>
      <c r="F652" s="78"/>
      <c r="G652" s="78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  <c r="Y652" s="78"/>
      <c r="Z652" s="78"/>
    </row>
    <row r="653" spans="1:26" ht="12.75" customHeight="1" x14ac:dyDescent="0.2">
      <c r="A653" s="78"/>
      <c r="B653" s="78"/>
      <c r="C653" s="78"/>
      <c r="D653" s="78"/>
      <c r="E653" s="78"/>
      <c r="F653" s="78"/>
      <c r="G653" s="78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  <c r="Y653" s="78"/>
      <c r="Z653" s="78"/>
    </row>
    <row r="654" spans="1:26" ht="12.75" customHeight="1" x14ac:dyDescent="0.2">
      <c r="A654" s="78"/>
      <c r="B654" s="78"/>
      <c r="C654" s="78"/>
      <c r="D654" s="78"/>
      <c r="E654" s="78"/>
      <c r="F654" s="78"/>
      <c r="G654" s="78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  <c r="Y654" s="78"/>
      <c r="Z654" s="78"/>
    </row>
    <row r="655" spans="1:26" ht="12.75" customHeight="1" x14ac:dyDescent="0.2">
      <c r="A655" s="78"/>
      <c r="B655" s="78"/>
      <c r="C655" s="78"/>
      <c r="D655" s="78"/>
      <c r="E655" s="78"/>
      <c r="F655" s="78"/>
      <c r="G655" s="78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  <c r="Y655" s="78"/>
      <c r="Z655" s="78"/>
    </row>
    <row r="656" spans="1:26" ht="12.75" customHeight="1" x14ac:dyDescent="0.2">
      <c r="A656" s="78"/>
      <c r="B656" s="78"/>
      <c r="C656" s="78"/>
      <c r="D656" s="78"/>
      <c r="E656" s="78"/>
      <c r="F656" s="78"/>
      <c r="G656" s="78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  <c r="Y656" s="78"/>
      <c r="Z656" s="78"/>
    </row>
    <row r="657" spans="1:26" ht="12.75" customHeight="1" x14ac:dyDescent="0.2">
      <c r="A657" s="78"/>
      <c r="B657" s="78"/>
      <c r="C657" s="78"/>
      <c r="D657" s="78"/>
      <c r="E657" s="78"/>
      <c r="F657" s="78"/>
      <c r="G657" s="78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  <c r="Y657" s="78"/>
      <c r="Z657" s="78"/>
    </row>
    <row r="658" spans="1:26" ht="12.75" customHeight="1" x14ac:dyDescent="0.2">
      <c r="A658" s="78"/>
      <c r="B658" s="78"/>
      <c r="C658" s="78"/>
      <c r="D658" s="78"/>
      <c r="E658" s="78"/>
      <c r="F658" s="78"/>
      <c r="G658" s="78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8"/>
      <c r="Z658" s="78"/>
    </row>
    <row r="659" spans="1:26" ht="12.75" customHeight="1" x14ac:dyDescent="0.2">
      <c r="A659" s="78"/>
      <c r="B659" s="78"/>
      <c r="C659" s="78"/>
      <c r="D659" s="78"/>
      <c r="E659" s="78"/>
      <c r="F659" s="78"/>
      <c r="G659" s="78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8"/>
      <c r="Z659" s="78"/>
    </row>
    <row r="660" spans="1:26" ht="12.75" customHeight="1" x14ac:dyDescent="0.2">
      <c r="A660" s="78"/>
      <c r="B660" s="78"/>
      <c r="C660" s="78"/>
      <c r="D660" s="78"/>
      <c r="E660" s="78"/>
      <c r="F660" s="78"/>
      <c r="G660" s="78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  <c r="Y660" s="78"/>
      <c r="Z660" s="78"/>
    </row>
    <row r="661" spans="1:26" ht="12.75" customHeight="1" x14ac:dyDescent="0.2">
      <c r="A661" s="78"/>
      <c r="B661" s="78"/>
      <c r="C661" s="78"/>
      <c r="D661" s="78"/>
      <c r="E661" s="78"/>
      <c r="F661" s="78"/>
      <c r="G661" s="78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  <c r="Y661" s="78"/>
      <c r="Z661" s="78"/>
    </row>
    <row r="662" spans="1:26" ht="12.75" customHeight="1" x14ac:dyDescent="0.2">
      <c r="A662" s="78"/>
      <c r="B662" s="78"/>
      <c r="C662" s="78"/>
      <c r="D662" s="78"/>
      <c r="E662" s="78"/>
      <c r="F662" s="78"/>
      <c r="G662" s="78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8"/>
      <c r="Z662" s="78"/>
    </row>
    <row r="663" spans="1:26" ht="12.75" customHeight="1" x14ac:dyDescent="0.2">
      <c r="A663" s="78"/>
      <c r="B663" s="78"/>
      <c r="C663" s="78"/>
      <c r="D663" s="78"/>
      <c r="E663" s="78"/>
      <c r="F663" s="78"/>
      <c r="G663" s="78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  <c r="Y663" s="78"/>
      <c r="Z663" s="78"/>
    </row>
    <row r="664" spans="1:26" ht="12.75" customHeight="1" x14ac:dyDescent="0.2">
      <c r="A664" s="78"/>
      <c r="B664" s="78"/>
      <c r="C664" s="78"/>
      <c r="D664" s="78"/>
      <c r="E664" s="78"/>
      <c r="F664" s="78"/>
      <c r="G664" s="78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  <c r="Y664" s="78"/>
      <c r="Z664" s="78"/>
    </row>
    <row r="665" spans="1:26" ht="12.75" customHeight="1" x14ac:dyDescent="0.2">
      <c r="A665" s="78"/>
      <c r="B665" s="78"/>
      <c r="C665" s="78"/>
      <c r="D665" s="78"/>
      <c r="E665" s="78"/>
      <c r="F665" s="78"/>
      <c r="G665" s="78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  <c r="Y665" s="78"/>
      <c r="Z665" s="78"/>
    </row>
    <row r="666" spans="1:26" ht="12.75" customHeight="1" x14ac:dyDescent="0.2">
      <c r="A666" s="78"/>
      <c r="B666" s="78"/>
      <c r="C666" s="78"/>
      <c r="D666" s="78"/>
      <c r="E666" s="78"/>
      <c r="F666" s="78"/>
      <c r="G666" s="78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  <c r="Y666" s="78"/>
      <c r="Z666" s="78"/>
    </row>
    <row r="667" spans="1:26" ht="12.75" customHeight="1" x14ac:dyDescent="0.2">
      <c r="A667" s="78"/>
      <c r="B667" s="78"/>
      <c r="C667" s="78"/>
      <c r="D667" s="78"/>
      <c r="E667" s="78"/>
      <c r="F667" s="78"/>
      <c r="G667" s="78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  <c r="Y667" s="78"/>
      <c r="Z667" s="78"/>
    </row>
    <row r="668" spans="1:26" ht="12.75" customHeight="1" x14ac:dyDescent="0.2">
      <c r="A668" s="78"/>
      <c r="B668" s="78"/>
      <c r="C668" s="78"/>
      <c r="D668" s="78"/>
      <c r="E668" s="78"/>
      <c r="F668" s="78"/>
      <c r="G668" s="78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  <c r="Y668" s="78"/>
      <c r="Z668" s="78"/>
    </row>
    <row r="669" spans="1:26" ht="12.75" customHeight="1" x14ac:dyDescent="0.2">
      <c r="A669" s="78"/>
      <c r="B669" s="78"/>
      <c r="C669" s="78"/>
      <c r="D669" s="78"/>
      <c r="E669" s="78"/>
      <c r="F669" s="78"/>
      <c r="G669" s="78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  <c r="Z669" s="78"/>
    </row>
    <row r="670" spans="1:26" ht="12.75" customHeight="1" x14ac:dyDescent="0.2">
      <c r="A670" s="78"/>
      <c r="B670" s="78"/>
      <c r="C670" s="78"/>
      <c r="D670" s="78"/>
      <c r="E670" s="78"/>
      <c r="F670" s="78"/>
      <c r="G670" s="78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  <c r="Y670" s="78"/>
      <c r="Z670" s="78"/>
    </row>
    <row r="671" spans="1:26" ht="12.75" customHeight="1" x14ac:dyDescent="0.2">
      <c r="A671" s="78"/>
      <c r="B671" s="78"/>
      <c r="C671" s="78"/>
      <c r="D671" s="78"/>
      <c r="E671" s="78"/>
      <c r="F671" s="78"/>
      <c r="G671" s="78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  <c r="Y671" s="78"/>
      <c r="Z671" s="78"/>
    </row>
    <row r="672" spans="1:26" ht="12.75" customHeight="1" x14ac:dyDescent="0.2">
      <c r="A672" s="78"/>
      <c r="B672" s="78"/>
      <c r="C672" s="78"/>
      <c r="D672" s="78"/>
      <c r="E672" s="78"/>
      <c r="F672" s="78"/>
      <c r="G672" s="78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8"/>
      <c r="Z672" s="78"/>
    </row>
    <row r="673" spans="1:26" ht="12.75" customHeight="1" x14ac:dyDescent="0.2">
      <c r="A673" s="78"/>
      <c r="B673" s="78"/>
      <c r="C673" s="78"/>
      <c r="D673" s="78"/>
      <c r="E673" s="78"/>
      <c r="F673" s="78"/>
      <c r="G673" s="78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  <c r="Y673" s="78"/>
      <c r="Z673" s="78"/>
    </row>
    <row r="674" spans="1:26" ht="12.75" customHeight="1" x14ac:dyDescent="0.2">
      <c r="A674" s="78"/>
      <c r="B674" s="78"/>
      <c r="C674" s="78"/>
      <c r="D674" s="78"/>
      <c r="E674" s="78"/>
      <c r="F674" s="78"/>
      <c r="G674" s="78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  <c r="Y674" s="78"/>
      <c r="Z674" s="78"/>
    </row>
    <row r="675" spans="1:26" ht="12.75" customHeight="1" x14ac:dyDescent="0.2">
      <c r="A675" s="78"/>
      <c r="B675" s="78"/>
      <c r="C675" s="78"/>
      <c r="D675" s="78"/>
      <c r="E675" s="78"/>
      <c r="F675" s="78"/>
      <c r="G675" s="78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  <c r="Y675" s="78"/>
      <c r="Z675" s="78"/>
    </row>
    <row r="676" spans="1:26" ht="12.75" customHeight="1" x14ac:dyDescent="0.2">
      <c r="A676" s="78"/>
      <c r="B676" s="78"/>
      <c r="C676" s="78"/>
      <c r="D676" s="78"/>
      <c r="E676" s="78"/>
      <c r="F676" s="78"/>
      <c r="G676" s="78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  <c r="Y676" s="78"/>
      <c r="Z676" s="78"/>
    </row>
    <row r="677" spans="1:26" ht="12.75" customHeight="1" x14ac:dyDescent="0.2">
      <c r="A677" s="78"/>
      <c r="B677" s="78"/>
      <c r="C677" s="78"/>
      <c r="D677" s="78"/>
      <c r="E677" s="78"/>
      <c r="F677" s="78"/>
      <c r="G677" s="78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  <c r="Y677" s="78"/>
      <c r="Z677" s="78"/>
    </row>
    <row r="678" spans="1:26" ht="12.75" customHeight="1" x14ac:dyDescent="0.2">
      <c r="A678" s="78"/>
      <c r="B678" s="78"/>
      <c r="C678" s="78"/>
      <c r="D678" s="78"/>
      <c r="E678" s="78"/>
      <c r="F678" s="78"/>
      <c r="G678" s="78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  <c r="Y678" s="78"/>
      <c r="Z678" s="78"/>
    </row>
    <row r="679" spans="1:26" ht="12.75" customHeight="1" x14ac:dyDescent="0.2">
      <c r="A679" s="78"/>
      <c r="B679" s="78"/>
      <c r="C679" s="78"/>
      <c r="D679" s="78"/>
      <c r="E679" s="78"/>
      <c r="F679" s="78"/>
      <c r="G679" s="78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  <c r="Y679" s="78"/>
      <c r="Z679" s="78"/>
    </row>
    <row r="680" spans="1:26" ht="12.75" customHeight="1" x14ac:dyDescent="0.2">
      <c r="A680" s="78"/>
      <c r="B680" s="78"/>
      <c r="C680" s="78"/>
      <c r="D680" s="78"/>
      <c r="E680" s="78"/>
      <c r="F680" s="78"/>
      <c r="G680" s="78"/>
      <c r="H680" s="78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  <c r="Y680" s="78"/>
      <c r="Z680" s="78"/>
    </row>
    <row r="681" spans="1:26" ht="12.75" customHeight="1" x14ac:dyDescent="0.2">
      <c r="A681" s="78"/>
      <c r="B681" s="78"/>
      <c r="C681" s="78"/>
      <c r="D681" s="78"/>
      <c r="E681" s="78"/>
      <c r="F681" s="78"/>
      <c r="G681" s="78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8"/>
      <c r="Z681" s="78"/>
    </row>
    <row r="682" spans="1:26" ht="12.75" customHeight="1" x14ac:dyDescent="0.2">
      <c r="A682" s="78"/>
      <c r="B682" s="78"/>
      <c r="C682" s="78"/>
      <c r="D682" s="78"/>
      <c r="E682" s="78"/>
      <c r="F682" s="78"/>
      <c r="G682" s="78"/>
      <c r="H682" s="78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8"/>
      <c r="Z682" s="78"/>
    </row>
    <row r="683" spans="1:26" ht="12.75" customHeight="1" x14ac:dyDescent="0.2">
      <c r="A683" s="78"/>
      <c r="B683" s="78"/>
      <c r="C683" s="78"/>
      <c r="D683" s="78"/>
      <c r="E683" s="78"/>
      <c r="F683" s="78"/>
      <c r="G683" s="78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</row>
    <row r="684" spans="1:26" ht="12.75" customHeight="1" x14ac:dyDescent="0.2">
      <c r="A684" s="78"/>
      <c r="B684" s="78"/>
      <c r="C684" s="78"/>
      <c r="D684" s="78"/>
      <c r="E684" s="78"/>
      <c r="F684" s="78"/>
      <c r="G684" s="78"/>
      <c r="H684" s="78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  <c r="X684" s="78"/>
      <c r="Y684" s="78"/>
      <c r="Z684" s="78"/>
    </row>
    <row r="685" spans="1:26" ht="12.75" customHeight="1" x14ac:dyDescent="0.2">
      <c r="A685" s="78"/>
      <c r="B685" s="78"/>
      <c r="C685" s="78"/>
      <c r="D685" s="78"/>
      <c r="E685" s="78"/>
      <c r="F685" s="78"/>
      <c r="G685" s="78"/>
      <c r="H685" s="78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  <c r="Y685" s="78"/>
      <c r="Z685" s="78"/>
    </row>
    <row r="686" spans="1:26" ht="12.75" customHeight="1" x14ac:dyDescent="0.2">
      <c r="A686" s="78"/>
      <c r="B686" s="78"/>
      <c r="C686" s="78"/>
      <c r="D686" s="78"/>
      <c r="E686" s="78"/>
      <c r="F686" s="78"/>
      <c r="G686" s="78"/>
      <c r="H686" s="78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  <c r="X686" s="78"/>
      <c r="Y686" s="78"/>
      <c r="Z686" s="78"/>
    </row>
    <row r="687" spans="1:26" ht="12.75" customHeight="1" x14ac:dyDescent="0.2">
      <c r="A687" s="78"/>
      <c r="B687" s="78"/>
      <c r="C687" s="78"/>
      <c r="D687" s="78"/>
      <c r="E687" s="78"/>
      <c r="F687" s="78"/>
      <c r="G687" s="78"/>
      <c r="H687" s="78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  <c r="X687" s="78"/>
      <c r="Y687" s="78"/>
      <c r="Z687" s="78"/>
    </row>
    <row r="688" spans="1:26" ht="12.75" customHeight="1" x14ac:dyDescent="0.2">
      <c r="A688" s="78"/>
      <c r="B688" s="78"/>
      <c r="C688" s="78"/>
      <c r="D688" s="78"/>
      <c r="E688" s="78"/>
      <c r="F688" s="78"/>
      <c r="G688" s="78"/>
      <c r="H688" s="78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  <c r="Y688" s="78"/>
      <c r="Z688" s="78"/>
    </row>
    <row r="689" spans="1:26" ht="12.75" customHeight="1" x14ac:dyDescent="0.2">
      <c r="A689" s="78"/>
      <c r="B689" s="78"/>
      <c r="C689" s="78"/>
      <c r="D689" s="78"/>
      <c r="E689" s="78"/>
      <c r="F689" s="78"/>
      <c r="G689" s="78"/>
      <c r="H689" s="78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  <c r="Y689" s="78"/>
      <c r="Z689" s="78"/>
    </row>
    <row r="690" spans="1:26" ht="12.75" customHeight="1" x14ac:dyDescent="0.2">
      <c r="A690" s="78"/>
      <c r="B690" s="78"/>
      <c r="C690" s="78"/>
      <c r="D690" s="78"/>
      <c r="E690" s="78"/>
      <c r="F690" s="78"/>
      <c r="G690" s="78"/>
      <c r="H690" s="78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  <c r="Y690" s="78"/>
      <c r="Z690" s="78"/>
    </row>
    <row r="691" spans="1:26" ht="12.75" customHeight="1" x14ac:dyDescent="0.2">
      <c r="A691" s="78"/>
      <c r="B691" s="78"/>
      <c r="C691" s="78"/>
      <c r="D691" s="78"/>
      <c r="E691" s="78"/>
      <c r="F691" s="78"/>
      <c r="G691" s="78"/>
      <c r="H691" s="78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  <c r="Y691" s="78"/>
      <c r="Z691" s="78"/>
    </row>
    <row r="692" spans="1:26" ht="12.75" customHeight="1" x14ac:dyDescent="0.2">
      <c r="A692" s="78"/>
      <c r="B692" s="78"/>
      <c r="C692" s="78"/>
      <c r="D692" s="78"/>
      <c r="E692" s="78"/>
      <c r="F692" s="78"/>
      <c r="G692" s="78"/>
      <c r="H692" s="78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  <c r="Y692" s="78"/>
      <c r="Z692" s="78"/>
    </row>
    <row r="693" spans="1:26" ht="12.75" customHeight="1" x14ac:dyDescent="0.2">
      <c r="A693" s="78"/>
      <c r="B693" s="78"/>
      <c r="C693" s="78"/>
      <c r="D693" s="78"/>
      <c r="E693" s="78"/>
      <c r="F693" s="78"/>
      <c r="G693" s="78"/>
      <c r="H693" s="78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  <c r="Y693" s="78"/>
      <c r="Z693" s="78"/>
    </row>
    <row r="694" spans="1:26" ht="12.75" customHeight="1" x14ac:dyDescent="0.2">
      <c r="A694" s="78"/>
      <c r="B694" s="78"/>
      <c r="C694" s="78"/>
      <c r="D694" s="78"/>
      <c r="E694" s="78"/>
      <c r="F694" s="78"/>
      <c r="G694" s="78"/>
      <c r="H694" s="78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  <c r="Y694" s="78"/>
      <c r="Z694" s="78"/>
    </row>
    <row r="695" spans="1:26" ht="12.75" customHeight="1" x14ac:dyDescent="0.2">
      <c r="A695" s="78"/>
      <c r="B695" s="78"/>
      <c r="C695" s="78"/>
      <c r="D695" s="78"/>
      <c r="E695" s="78"/>
      <c r="F695" s="78"/>
      <c r="G695" s="78"/>
      <c r="H695" s="78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  <c r="Y695" s="78"/>
      <c r="Z695" s="78"/>
    </row>
    <row r="696" spans="1:26" ht="12.75" customHeight="1" x14ac:dyDescent="0.2">
      <c r="A696" s="78"/>
      <c r="B696" s="78"/>
      <c r="C696" s="78"/>
      <c r="D696" s="78"/>
      <c r="E696" s="78"/>
      <c r="F696" s="78"/>
      <c r="G696" s="78"/>
      <c r="H696" s="78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  <c r="Y696" s="78"/>
      <c r="Z696" s="78"/>
    </row>
    <row r="697" spans="1:26" ht="12.75" customHeight="1" x14ac:dyDescent="0.2">
      <c r="A697" s="78"/>
      <c r="B697" s="78"/>
      <c r="C697" s="78"/>
      <c r="D697" s="78"/>
      <c r="E697" s="78"/>
      <c r="F697" s="78"/>
      <c r="G697" s="78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8"/>
      <c r="Z697" s="78"/>
    </row>
    <row r="698" spans="1:26" ht="12.75" customHeight="1" x14ac:dyDescent="0.2">
      <c r="A698" s="78"/>
      <c r="B698" s="78"/>
      <c r="C698" s="78"/>
      <c r="D698" s="78"/>
      <c r="E698" s="78"/>
      <c r="F698" s="78"/>
      <c r="G698" s="78"/>
      <c r="H698" s="78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  <c r="Y698" s="78"/>
      <c r="Z698" s="78"/>
    </row>
    <row r="699" spans="1:26" ht="12.75" customHeight="1" x14ac:dyDescent="0.2">
      <c r="A699" s="78"/>
      <c r="B699" s="78"/>
      <c r="C699" s="78"/>
      <c r="D699" s="78"/>
      <c r="E699" s="78"/>
      <c r="F699" s="78"/>
      <c r="G699" s="78"/>
      <c r="H699" s="78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  <c r="Y699" s="78"/>
      <c r="Z699" s="78"/>
    </row>
    <row r="700" spans="1:26" ht="12.75" customHeight="1" x14ac:dyDescent="0.2">
      <c r="A700" s="78"/>
      <c r="B700" s="78"/>
      <c r="C700" s="78"/>
      <c r="D700" s="78"/>
      <c r="E700" s="78"/>
      <c r="F700" s="78"/>
      <c r="G700" s="78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8"/>
      <c r="Z700" s="78"/>
    </row>
    <row r="701" spans="1:26" ht="12.75" customHeight="1" x14ac:dyDescent="0.2">
      <c r="A701" s="78"/>
      <c r="B701" s="78"/>
      <c r="C701" s="78"/>
      <c r="D701" s="78"/>
      <c r="E701" s="78"/>
      <c r="F701" s="78"/>
      <c r="G701" s="78"/>
      <c r="H701" s="78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  <c r="Y701" s="78"/>
      <c r="Z701" s="78"/>
    </row>
    <row r="702" spans="1:26" ht="12.75" customHeight="1" x14ac:dyDescent="0.2">
      <c r="A702" s="78"/>
      <c r="B702" s="78"/>
      <c r="C702" s="78"/>
      <c r="D702" s="78"/>
      <c r="E702" s="78"/>
      <c r="F702" s="78"/>
      <c r="G702" s="78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</row>
    <row r="703" spans="1:26" ht="12.75" customHeight="1" x14ac:dyDescent="0.2">
      <c r="A703" s="78"/>
      <c r="B703" s="78"/>
      <c r="C703" s="78"/>
      <c r="D703" s="78"/>
      <c r="E703" s="78"/>
      <c r="F703" s="78"/>
      <c r="G703" s="78"/>
      <c r="H703" s="78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  <c r="Y703" s="78"/>
      <c r="Z703" s="78"/>
    </row>
    <row r="704" spans="1:26" ht="12.75" customHeight="1" x14ac:dyDescent="0.2">
      <c r="A704" s="78"/>
      <c r="B704" s="78"/>
      <c r="C704" s="78"/>
      <c r="D704" s="78"/>
      <c r="E704" s="78"/>
      <c r="F704" s="78"/>
      <c r="G704" s="78"/>
      <c r="H704" s="78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  <c r="Y704" s="78"/>
      <c r="Z704" s="78"/>
    </row>
    <row r="705" spans="1:26" ht="12.75" customHeight="1" x14ac:dyDescent="0.2">
      <c r="A705" s="78"/>
      <c r="B705" s="78"/>
      <c r="C705" s="78"/>
      <c r="D705" s="78"/>
      <c r="E705" s="78"/>
      <c r="F705" s="78"/>
      <c r="G705" s="78"/>
      <c r="H705" s="78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  <c r="Y705" s="78"/>
      <c r="Z705" s="78"/>
    </row>
    <row r="706" spans="1:26" ht="12.75" customHeight="1" x14ac:dyDescent="0.2">
      <c r="A706" s="78"/>
      <c r="B706" s="78"/>
      <c r="C706" s="78"/>
      <c r="D706" s="78"/>
      <c r="E706" s="78"/>
      <c r="F706" s="78"/>
      <c r="G706" s="78"/>
      <c r="H706" s="78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8"/>
      <c r="Z706" s="78"/>
    </row>
    <row r="707" spans="1:26" ht="12.75" customHeight="1" x14ac:dyDescent="0.2">
      <c r="A707" s="78"/>
      <c r="B707" s="78"/>
      <c r="C707" s="78"/>
      <c r="D707" s="78"/>
      <c r="E707" s="78"/>
      <c r="F707" s="78"/>
      <c r="G707" s="78"/>
      <c r="H707" s="78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  <c r="Y707" s="78"/>
      <c r="Z707" s="78"/>
    </row>
    <row r="708" spans="1:26" ht="12.75" customHeight="1" x14ac:dyDescent="0.2">
      <c r="A708" s="78"/>
      <c r="B708" s="78"/>
      <c r="C708" s="78"/>
      <c r="D708" s="78"/>
      <c r="E708" s="78"/>
      <c r="F708" s="78"/>
      <c r="G708" s="78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  <c r="Y708" s="78"/>
      <c r="Z708" s="78"/>
    </row>
    <row r="709" spans="1:26" ht="12.75" customHeight="1" x14ac:dyDescent="0.2">
      <c r="A709" s="78"/>
      <c r="B709" s="78"/>
      <c r="C709" s="78"/>
      <c r="D709" s="78"/>
      <c r="E709" s="78"/>
      <c r="F709" s="78"/>
      <c r="G709" s="78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  <c r="Y709" s="78"/>
      <c r="Z709" s="78"/>
    </row>
    <row r="710" spans="1:26" ht="12.75" customHeight="1" x14ac:dyDescent="0.2">
      <c r="A710" s="78"/>
      <c r="B710" s="78"/>
      <c r="C710" s="78"/>
      <c r="D710" s="78"/>
      <c r="E710" s="78"/>
      <c r="F710" s="78"/>
      <c r="G710" s="78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  <c r="Y710" s="78"/>
      <c r="Z710" s="78"/>
    </row>
    <row r="711" spans="1:26" ht="12.75" customHeight="1" x14ac:dyDescent="0.2">
      <c r="A711" s="78"/>
      <c r="B711" s="78"/>
      <c r="C711" s="78"/>
      <c r="D711" s="78"/>
      <c r="E711" s="78"/>
      <c r="F711" s="78"/>
      <c r="G711" s="78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8"/>
      <c r="Z711" s="78"/>
    </row>
    <row r="712" spans="1:26" ht="12.75" customHeight="1" x14ac:dyDescent="0.2">
      <c r="A712" s="78"/>
      <c r="B712" s="78"/>
      <c r="C712" s="78"/>
      <c r="D712" s="78"/>
      <c r="E712" s="78"/>
      <c r="F712" s="78"/>
      <c r="G712" s="78"/>
      <c r="H712" s="78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8"/>
      <c r="Z712" s="78"/>
    </row>
    <row r="713" spans="1:26" ht="12.75" customHeight="1" x14ac:dyDescent="0.2">
      <c r="A713" s="78"/>
      <c r="B713" s="78"/>
      <c r="C713" s="78"/>
      <c r="D713" s="78"/>
      <c r="E713" s="78"/>
      <c r="F713" s="78"/>
      <c r="G713" s="78"/>
      <c r="H713" s="78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  <c r="Y713" s="78"/>
      <c r="Z713" s="78"/>
    </row>
    <row r="714" spans="1:26" ht="12.75" customHeight="1" x14ac:dyDescent="0.2">
      <c r="A714" s="78"/>
      <c r="B714" s="78"/>
      <c r="C714" s="78"/>
      <c r="D714" s="78"/>
      <c r="E714" s="78"/>
      <c r="F714" s="78"/>
      <c r="G714" s="78"/>
      <c r="H714" s="78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  <c r="Y714" s="78"/>
      <c r="Z714" s="78"/>
    </row>
    <row r="715" spans="1:26" ht="12.75" customHeight="1" x14ac:dyDescent="0.2">
      <c r="A715" s="78"/>
      <c r="B715" s="78"/>
      <c r="C715" s="78"/>
      <c r="D715" s="78"/>
      <c r="E715" s="78"/>
      <c r="F715" s="78"/>
      <c r="G715" s="78"/>
      <c r="H715" s="78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  <c r="Y715" s="78"/>
      <c r="Z715" s="78"/>
    </row>
    <row r="716" spans="1:26" ht="12.75" customHeight="1" x14ac:dyDescent="0.2">
      <c r="A716" s="78"/>
      <c r="B716" s="78"/>
      <c r="C716" s="78"/>
      <c r="D716" s="78"/>
      <c r="E716" s="78"/>
      <c r="F716" s="78"/>
      <c r="G716" s="78"/>
      <c r="H716" s="78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  <c r="Y716" s="78"/>
      <c r="Z716" s="78"/>
    </row>
    <row r="717" spans="1:26" ht="12.75" customHeight="1" x14ac:dyDescent="0.2">
      <c r="A717" s="78"/>
      <c r="B717" s="78"/>
      <c r="C717" s="78"/>
      <c r="D717" s="78"/>
      <c r="E717" s="78"/>
      <c r="F717" s="78"/>
      <c r="G717" s="78"/>
      <c r="H717" s="78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  <c r="Y717" s="78"/>
      <c r="Z717" s="78"/>
    </row>
    <row r="718" spans="1:26" ht="12.75" customHeight="1" x14ac:dyDescent="0.2">
      <c r="A718" s="78"/>
      <c r="B718" s="78"/>
      <c r="C718" s="78"/>
      <c r="D718" s="78"/>
      <c r="E718" s="78"/>
      <c r="F718" s="78"/>
      <c r="G718" s="78"/>
      <c r="H718" s="78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  <c r="Y718" s="78"/>
      <c r="Z718" s="78"/>
    </row>
    <row r="719" spans="1:26" ht="12.75" customHeight="1" x14ac:dyDescent="0.2">
      <c r="A719" s="78"/>
      <c r="B719" s="78"/>
      <c r="C719" s="78"/>
      <c r="D719" s="78"/>
      <c r="E719" s="78"/>
      <c r="F719" s="78"/>
      <c r="G719" s="78"/>
      <c r="H719" s="78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  <c r="Y719" s="78"/>
      <c r="Z719" s="78"/>
    </row>
    <row r="720" spans="1:26" ht="12.75" customHeight="1" x14ac:dyDescent="0.2">
      <c r="A720" s="78"/>
      <c r="B720" s="78"/>
      <c r="C720" s="78"/>
      <c r="D720" s="78"/>
      <c r="E720" s="78"/>
      <c r="F720" s="78"/>
      <c r="G720" s="78"/>
      <c r="H720" s="78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  <c r="Y720" s="78"/>
      <c r="Z720" s="78"/>
    </row>
    <row r="721" spans="1:26" ht="12.75" customHeight="1" x14ac:dyDescent="0.2">
      <c r="A721" s="78"/>
      <c r="B721" s="78"/>
      <c r="C721" s="78"/>
      <c r="D721" s="78"/>
      <c r="E721" s="78"/>
      <c r="F721" s="78"/>
      <c r="G721" s="78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8"/>
      <c r="Z721" s="78"/>
    </row>
    <row r="722" spans="1:26" ht="12.75" customHeight="1" x14ac:dyDescent="0.2">
      <c r="A722" s="78"/>
      <c r="B722" s="78"/>
      <c r="C722" s="78"/>
      <c r="D722" s="78"/>
      <c r="E722" s="78"/>
      <c r="F722" s="78"/>
      <c r="G722" s="78"/>
      <c r="H722" s="78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8"/>
      <c r="Z722" s="78"/>
    </row>
    <row r="723" spans="1:26" ht="12.75" customHeight="1" x14ac:dyDescent="0.2">
      <c r="A723" s="78"/>
      <c r="B723" s="78"/>
      <c r="C723" s="78"/>
      <c r="D723" s="78"/>
      <c r="E723" s="78"/>
      <c r="F723" s="78"/>
      <c r="G723" s="78"/>
      <c r="H723" s="78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  <c r="Z723" s="78"/>
    </row>
    <row r="724" spans="1:26" ht="12.75" customHeight="1" x14ac:dyDescent="0.2">
      <c r="A724" s="78"/>
      <c r="B724" s="78"/>
      <c r="C724" s="78"/>
      <c r="D724" s="78"/>
      <c r="E724" s="78"/>
      <c r="F724" s="78"/>
      <c r="G724" s="78"/>
      <c r="H724" s="78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8"/>
      <c r="Z724" s="78"/>
    </row>
    <row r="725" spans="1:26" ht="12.75" customHeight="1" x14ac:dyDescent="0.2">
      <c r="A725" s="78"/>
      <c r="B725" s="78"/>
      <c r="C725" s="78"/>
      <c r="D725" s="78"/>
      <c r="E725" s="78"/>
      <c r="F725" s="78"/>
      <c r="G725" s="78"/>
      <c r="H725" s="78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  <c r="Y725" s="78"/>
      <c r="Z725" s="78"/>
    </row>
    <row r="726" spans="1:26" ht="12.75" customHeight="1" x14ac:dyDescent="0.2">
      <c r="A726" s="78"/>
      <c r="B726" s="78"/>
      <c r="C726" s="78"/>
      <c r="D726" s="78"/>
      <c r="E726" s="78"/>
      <c r="F726" s="78"/>
      <c r="G726" s="78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  <c r="Y726" s="78"/>
      <c r="Z726" s="78"/>
    </row>
    <row r="727" spans="1:26" ht="12.75" customHeight="1" x14ac:dyDescent="0.2">
      <c r="A727" s="78"/>
      <c r="B727" s="78"/>
      <c r="C727" s="78"/>
      <c r="D727" s="78"/>
      <c r="E727" s="78"/>
      <c r="F727" s="78"/>
      <c r="G727" s="78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  <c r="Y727" s="78"/>
      <c r="Z727" s="78"/>
    </row>
    <row r="728" spans="1:26" ht="12.75" customHeight="1" x14ac:dyDescent="0.2">
      <c r="A728" s="78"/>
      <c r="B728" s="78"/>
      <c r="C728" s="78"/>
      <c r="D728" s="78"/>
      <c r="E728" s="78"/>
      <c r="F728" s="78"/>
      <c r="G728" s="78"/>
      <c r="H728" s="78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  <c r="Y728" s="78"/>
      <c r="Z728" s="78"/>
    </row>
    <row r="729" spans="1:26" ht="12.75" customHeight="1" x14ac:dyDescent="0.2">
      <c r="A729" s="78"/>
      <c r="B729" s="78"/>
      <c r="C729" s="78"/>
      <c r="D729" s="78"/>
      <c r="E729" s="78"/>
      <c r="F729" s="78"/>
      <c r="G729" s="78"/>
      <c r="H729" s="78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  <c r="Y729" s="78"/>
      <c r="Z729" s="78"/>
    </row>
    <row r="730" spans="1:26" ht="12.75" customHeight="1" x14ac:dyDescent="0.2">
      <c r="A730" s="78"/>
      <c r="B730" s="78"/>
      <c r="C730" s="78"/>
      <c r="D730" s="78"/>
      <c r="E730" s="78"/>
      <c r="F730" s="78"/>
      <c r="G730" s="78"/>
      <c r="H730" s="78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  <c r="Y730" s="78"/>
      <c r="Z730" s="78"/>
    </row>
    <row r="731" spans="1:26" ht="12.75" customHeight="1" x14ac:dyDescent="0.2">
      <c r="A731" s="78"/>
      <c r="B731" s="78"/>
      <c r="C731" s="78"/>
      <c r="D731" s="78"/>
      <c r="E731" s="78"/>
      <c r="F731" s="78"/>
      <c r="G731" s="78"/>
      <c r="H731" s="78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  <c r="Y731" s="78"/>
      <c r="Z731" s="78"/>
    </row>
    <row r="732" spans="1:26" ht="12.75" customHeight="1" x14ac:dyDescent="0.2">
      <c r="A732" s="78"/>
      <c r="B732" s="78"/>
      <c r="C732" s="78"/>
      <c r="D732" s="78"/>
      <c r="E732" s="78"/>
      <c r="F732" s="78"/>
      <c r="G732" s="78"/>
      <c r="H732" s="78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8"/>
      <c r="Z732" s="78"/>
    </row>
    <row r="733" spans="1:26" ht="12.75" customHeight="1" x14ac:dyDescent="0.2">
      <c r="A733" s="78"/>
      <c r="B733" s="78"/>
      <c r="C733" s="78"/>
      <c r="D733" s="78"/>
      <c r="E733" s="78"/>
      <c r="F733" s="78"/>
      <c r="G733" s="78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  <c r="Z733" s="78"/>
    </row>
    <row r="734" spans="1:26" ht="12.75" customHeight="1" x14ac:dyDescent="0.2">
      <c r="A734" s="78"/>
      <c r="B734" s="78"/>
      <c r="C734" s="78"/>
      <c r="D734" s="78"/>
      <c r="E734" s="78"/>
      <c r="F734" s="78"/>
      <c r="G734" s="78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  <c r="Y734" s="78"/>
      <c r="Z734" s="78"/>
    </row>
    <row r="735" spans="1:26" ht="12.75" customHeight="1" x14ac:dyDescent="0.2">
      <c r="A735" s="78"/>
      <c r="B735" s="78"/>
      <c r="C735" s="78"/>
      <c r="D735" s="78"/>
      <c r="E735" s="78"/>
      <c r="F735" s="78"/>
      <c r="G735" s="78"/>
      <c r="H735" s="78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  <c r="Y735" s="78"/>
      <c r="Z735" s="78"/>
    </row>
    <row r="736" spans="1:26" ht="12.75" customHeight="1" x14ac:dyDescent="0.2">
      <c r="A736" s="78"/>
      <c r="B736" s="78"/>
      <c r="C736" s="78"/>
      <c r="D736" s="78"/>
      <c r="E736" s="78"/>
      <c r="F736" s="78"/>
      <c r="G736" s="78"/>
      <c r="H736" s="78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  <c r="Y736" s="78"/>
      <c r="Z736" s="78"/>
    </row>
    <row r="737" spans="1:26" ht="12.75" customHeight="1" x14ac:dyDescent="0.2">
      <c r="A737" s="78"/>
      <c r="B737" s="78"/>
      <c r="C737" s="78"/>
      <c r="D737" s="78"/>
      <c r="E737" s="78"/>
      <c r="F737" s="78"/>
      <c r="G737" s="78"/>
      <c r="H737" s="78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  <c r="Y737" s="78"/>
      <c r="Z737" s="78"/>
    </row>
    <row r="738" spans="1:26" ht="12.75" customHeight="1" x14ac:dyDescent="0.2">
      <c r="A738" s="78"/>
      <c r="B738" s="78"/>
      <c r="C738" s="78"/>
      <c r="D738" s="78"/>
      <c r="E738" s="78"/>
      <c r="F738" s="78"/>
      <c r="G738" s="78"/>
      <c r="H738" s="78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  <c r="Y738" s="78"/>
      <c r="Z738" s="78"/>
    </row>
    <row r="739" spans="1:26" ht="12.75" customHeight="1" x14ac:dyDescent="0.2">
      <c r="A739" s="78"/>
      <c r="B739" s="78"/>
      <c r="C739" s="78"/>
      <c r="D739" s="78"/>
      <c r="E739" s="78"/>
      <c r="F739" s="78"/>
      <c r="G739" s="78"/>
      <c r="H739" s="78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  <c r="Y739" s="78"/>
      <c r="Z739" s="78"/>
    </row>
    <row r="740" spans="1:26" ht="12.75" customHeight="1" x14ac:dyDescent="0.2">
      <c r="A740" s="78"/>
      <c r="B740" s="78"/>
      <c r="C740" s="78"/>
      <c r="D740" s="78"/>
      <c r="E740" s="78"/>
      <c r="F740" s="78"/>
      <c r="G740" s="78"/>
      <c r="H740" s="78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  <c r="Y740" s="78"/>
      <c r="Z740" s="78"/>
    </row>
    <row r="741" spans="1:26" ht="12.75" customHeight="1" x14ac:dyDescent="0.2">
      <c r="A741" s="78"/>
      <c r="B741" s="78"/>
      <c r="C741" s="78"/>
      <c r="D741" s="78"/>
      <c r="E741" s="78"/>
      <c r="F741" s="78"/>
      <c r="G741" s="78"/>
      <c r="H741" s="78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  <c r="Y741" s="78"/>
      <c r="Z741" s="78"/>
    </row>
    <row r="742" spans="1:26" ht="12.75" customHeight="1" x14ac:dyDescent="0.2">
      <c r="A742" s="78"/>
      <c r="B742" s="78"/>
      <c r="C742" s="78"/>
      <c r="D742" s="78"/>
      <c r="E742" s="78"/>
      <c r="F742" s="78"/>
      <c r="G742" s="78"/>
      <c r="H742" s="78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8"/>
      <c r="Z742" s="78"/>
    </row>
    <row r="743" spans="1:26" ht="12.75" customHeight="1" x14ac:dyDescent="0.2">
      <c r="A743" s="78"/>
      <c r="B743" s="78"/>
      <c r="C743" s="78"/>
      <c r="D743" s="78"/>
      <c r="E743" s="78"/>
      <c r="F743" s="78"/>
      <c r="G743" s="78"/>
      <c r="H743" s="78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  <c r="Y743" s="78"/>
      <c r="Z743" s="78"/>
    </row>
    <row r="744" spans="1:26" ht="12.75" customHeight="1" x14ac:dyDescent="0.2">
      <c r="A744" s="78"/>
      <c r="B744" s="78"/>
      <c r="C744" s="78"/>
      <c r="D744" s="78"/>
      <c r="E744" s="78"/>
      <c r="F744" s="78"/>
      <c r="G744" s="78"/>
      <c r="H744" s="78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  <c r="Y744" s="78"/>
      <c r="Z744" s="78"/>
    </row>
    <row r="745" spans="1:26" ht="12.75" customHeight="1" x14ac:dyDescent="0.2">
      <c r="A745" s="78"/>
      <c r="B745" s="78"/>
      <c r="C745" s="78"/>
      <c r="D745" s="78"/>
      <c r="E745" s="78"/>
      <c r="F745" s="78"/>
      <c r="G745" s="78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  <c r="Y745" s="78"/>
      <c r="Z745" s="78"/>
    </row>
    <row r="746" spans="1:26" ht="12.75" customHeight="1" x14ac:dyDescent="0.2">
      <c r="A746" s="78"/>
      <c r="B746" s="78"/>
      <c r="C746" s="78"/>
      <c r="D746" s="78"/>
      <c r="E746" s="78"/>
      <c r="F746" s="78"/>
      <c r="G746" s="78"/>
      <c r="H746" s="78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  <c r="Y746" s="78"/>
      <c r="Z746" s="78"/>
    </row>
    <row r="747" spans="1:26" ht="12.75" customHeight="1" x14ac:dyDescent="0.2">
      <c r="A747" s="78"/>
      <c r="B747" s="78"/>
      <c r="C747" s="78"/>
      <c r="D747" s="78"/>
      <c r="E747" s="78"/>
      <c r="F747" s="78"/>
      <c r="G747" s="78"/>
      <c r="H747" s="78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  <c r="Y747" s="78"/>
      <c r="Z747" s="78"/>
    </row>
    <row r="748" spans="1:26" ht="12.75" customHeight="1" x14ac:dyDescent="0.2">
      <c r="A748" s="78"/>
      <c r="B748" s="78"/>
      <c r="C748" s="78"/>
      <c r="D748" s="78"/>
      <c r="E748" s="78"/>
      <c r="F748" s="78"/>
      <c r="G748" s="78"/>
      <c r="H748" s="78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  <c r="Y748" s="78"/>
      <c r="Z748" s="78"/>
    </row>
    <row r="749" spans="1:26" ht="12.75" customHeight="1" x14ac:dyDescent="0.2">
      <c r="A749" s="78"/>
      <c r="B749" s="78"/>
      <c r="C749" s="78"/>
      <c r="D749" s="78"/>
      <c r="E749" s="78"/>
      <c r="F749" s="78"/>
      <c r="G749" s="78"/>
      <c r="H749" s="78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  <c r="Y749" s="78"/>
      <c r="Z749" s="78"/>
    </row>
    <row r="750" spans="1:26" ht="12.75" customHeight="1" x14ac:dyDescent="0.2">
      <c r="A750" s="78"/>
      <c r="B750" s="78"/>
      <c r="C750" s="78"/>
      <c r="D750" s="78"/>
      <c r="E750" s="78"/>
      <c r="F750" s="78"/>
      <c r="G750" s="78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8"/>
      <c r="Z750" s="78"/>
    </row>
    <row r="751" spans="1:26" ht="12.75" customHeight="1" x14ac:dyDescent="0.2">
      <c r="A751" s="78"/>
      <c r="B751" s="78"/>
      <c r="C751" s="78"/>
      <c r="D751" s="78"/>
      <c r="E751" s="78"/>
      <c r="F751" s="78"/>
      <c r="G751" s="78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8"/>
      <c r="Z751" s="78"/>
    </row>
    <row r="752" spans="1:26" ht="12.75" customHeight="1" x14ac:dyDescent="0.2">
      <c r="A752" s="78"/>
      <c r="B752" s="78"/>
      <c r="C752" s="78"/>
      <c r="D752" s="78"/>
      <c r="E752" s="78"/>
      <c r="F752" s="78"/>
      <c r="G752" s="78"/>
      <c r="H752" s="78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8"/>
      <c r="Z752" s="78"/>
    </row>
    <row r="753" spans="1:26" ht="12.75" customHeight="1" x14ac:dyDescent="0.2">
      <c r="A753" s="78"/>
      <c r="B753" s="78"/>
      <c r="C753" s="78"/>
      <c r="D753" s="78"/>
      <c r="E753" s="78"/>
      <c r="F753" s="78"/>
      <c r="G753" s="78"/>
      <c r="H753" s="78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  <c r="Y753" s="78"/>
      <c r="Z753" s="78"/>
    </row>
    <row r="754" spans="1:26" ht="12.75" customHeight="1" x14ac:dyDescent="0.2">
      <c r="A754" s="78"/>
      <c r="B754" s="78"/>
      <c r="C754" s="78"/>
      <c r="D754" s="78"/>
      <c r="E754" s="78"/>
      <c r="F754" s="78"/>
      <c r="G754" s="78"/>
      <c r="H754" s="78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  <c r="Y754" s="78"/>
      <c r="Z754" s="78"/>
    </row>
    <row r="755" spans="1:26" ht="12.75" customHeight="1" x14ac:dyDescent="0.2">
      <c r="A755" s="78"/>
      <c r="B755" s="78"/>
      <c r="C755" s="78"/>
      <c r="D755" s="78"/>
      <c r="E755" s="78"/>
      <c r="F755" s="78"/>
      <c r="G755" s="78"/>
      <c r="H755" s="78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  <c r="Y755" s="78"/>
      <c r="Z755" s="78"/>
    </row>
    <row r="756" spans="1:26" ht="12.75" customHeight="1" x14ac:dyDescent="0.2">
      <c r="A756" s="78"/>
      <c r="B756" s="78"/>
      <c r="C756" s="78"/>
      <c r="D756" s="78"/>
      <c r="E756" s="78"/>
      <c r="F756" s="78"/>
      <c r="G756" s="78"/>
      <c r="H756" s="78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  <c r="Y756" s="78"/>
      <c r="Z756" s="78"/>
    </row>
    <row r="757" spans="1:26" ht="12.75" customHeight="1" x14ac:dyDescent="0.2">
      <c r="A757" s="78"/>
      <c r="B757" s="78"/>
      <c r="C757" s="78"/>
      <c r="D757" s="78"/>
      <c r="E757" s="78"/>
      <c r="F757" s="78"/>
      <c r="G757" s="78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  <c r="Y757" s="78"/>
      <c r="Z757" s="78"/>
    </row>
    <row r="758" spans="1:26" ht="12.75" customHeight="1" x14ac:dyDescent="0.2">
      <c r="A758" s="78"/>
      <c r="B758" s="78"/>
      <c r="C758" s="78"/>
      <c r="D758" s="78"/>
      <c r="E758" s="78"/>
      <c r="F758" s="78"/>
      <c r="G758" s="78"/>
      <c r="H758" s="78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  <c r="Y758" s="78"/>
      <c r="Z758" s="78"/>
    </row>
    <row r="759" spans="1:26" ht="12.75" customHeight="1" x14ac:dyDescent="0.2">
      <c r="A759" s="78"/>
      <c r="B759" s="78"/>
      <c r="C759" s="78"/>
      <c r="D759" s="78"/>
      <c r="E759" s="78"/>
      <c r="F759" s="78"/>
      <c r="G759" s="78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  <c r="Y759" s="78"/>
      <c r="Z759" s="78"/>
    </row>
    <row r="760" spans="1:26" ht="12.75" customHeight="1" x14ac:dyDescent="0.2">
      <c r="A760" s="78"/>
      <c r="B760" s="78"/>
      <c r="C760" s="78"/>
      <c r="D760" s="78"/>
      <c r="E760" s="78"/>
      <c r="F760" s="78"/>
      <c r="G760" s="78"/>
      <c r="H760" s="78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  <c r="Y760" s="78"/>
      <c r="Z760" s="78"/>
    </row>
    <row r="761" spans="1:26" ht="12.75" customHeight="1" x14ac:dyDescent="0.2">
      <c r="A761" s="78"/>
      <c r="B761" s="78"/>
      <c r="C761" s="78"/>
      <c r="D761" s="78"/>
      <c r="E761" s="78"/>
      <c r="F761" s="78"/>
      <c r="G761" s="78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8"/>
      <c r="Z761" s="78"/>
    </row>
    <row r="762" spans="1:26" ht="12.75" customHeight="1" x14ac:dyDescent="0.2">
      <c r="A762" s="78"/>
      <c r="B762" s="78"/>
      <c r="C762" s="78"/>
      <c r="D762" s="78"/>
      <c r="E762" s="78"/>
      <c r="F762" s="78"/>
      <c r="G762" s="78"/>
      <c r="H762" s="78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8"/>
      <c r="Z762" s="78"/>
    </row>
    <row r="763" spans="1:26" ht="12.75" customHeight="1" x14ac:dyDescent="0.2">
      <c r="A763" s="78"/>
      <c r="B763" s="78"/>
      <c r="C763" s="78"/>
      <c r="D763" s="78"/>
      <c r="E763" s="78"/>
      <c r="F763" s="78"/>
      <c r="G763" s="78"/>
      <c r="H763" s="78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  <c r="Z763" s="78"/>
    </row>
    <row r="764" spans="1:26" ht="12.75" customHeight="1" x14ac:dyDescent="0.2">
      <c r="A764" s="78"/>
      <c r="B764" s="78"/>
      <c r="C764" s="78"/>
      <c r="D764" s="78"/>
      <c r="E764" s="78"/>
      <c r="F764" s="78"/>
      <c r="G764" s="78"/>
      <c r="H764" s="78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  <c r="Y764" s="78"/>
      <c r="Z764" s="78"/>
    </row>
    <row r="765" spans="1:26" ht="12.75" customHeight="1" x14ac:dyDescent="0.2">
      <c r="A765" s="78"/>
      <c r="B765" s="78"/>
      <c r="C765" s="78"/>
      <c r="D765" s="78"/>
      <c r="E765" s="78"/>
      <c r="F765" s="78"/>
      <c r="G765" s="78"/>
      <c r="H765" s="78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  <c r="Y765" s="78"/>
      <c r="Z765" s="78"/>
    </row>
    <row r="766" spans="1:26" ht="12.75" customHeight="1" x14ac:dyDescent="0.2">
      <c r="A766" s="78"/>
      <c r="B766" s="78"/>
      <c r="C766" s="78"/>
      <c r="D766" s="78"/>
      <c r="E766" s="78"/>
      <c r="F766" s="78"/>
      <c r="G766" s="78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  <c r="Y766" s="78"/>
      <c r="Z766" s="78"/>
    </row>
    <row r="767" spans="1:26" ht="12.75" customHeight="1" x14ac:dyDescent="0.2">
      <c r="A767" s="78"/>
      <c r="B767" s="78"/>
      <c r="C767" s="78"/>
      <c r="D767" s="78"/>
      <c r="E767" s="78"/>
      <c r="F767" s="78"/>
      <c r="G767" s="78"/>
      <c r="H767" s="78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  <c r="Y767" s="78"/>
      <c r="Z767" s="78"/>
    </row>
    <row r="768" spans="1:26" ht="12.75" customHeight="1" x14ac:dyDescent="0.2">
      <c r="A768" s="78"/>
      <c r="B768" s="78"/>
      <c r="C768" s="78"/>
      <c r="D768" s="78"/>
      <c r="E768" s="78"/>
      <c r="F768" s="78"/>
      <c r="G768" s="78"/>
      <c r="H768" s="78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  <c r="Y768" s="78"/>
      <c r="Z768" s="78"/>
    </row>
    <row r="769" spans="1:26" ht="12.75" customHeight="1" x14ac:dyDescent="0.2">
      <c r="A769" s="78"/>
      <c r="B769" s="78"/>
      <c r="C769" s="78"/>
      <c r="D769" s="78"/>
      <c r="E769" s="78"/>
      <c r="F769" s="78"/>
      <c r="G769" s="78"/>
      <c r="H769" s="78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  <c r="Y769" s="78"/>
      <c r="Z769" s="78"/>
    </row>
    <row r="770" spans="1:26" ht="12.75" customHeight="1" x14ac:dyDescent="0.2">
      <c r="A770" s="78"/>
      <c r="B770" s="78"/>
      <c r="C770" s="78"/>
      <c r="D770" s="78"/>
      <c r="E770" s="78"/>
      <c r="F770" s="78"/>
      <c r="G770" s="78"/>
      <c r="H770" s="78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  <c r="Y770" s="78"/>
      <c r="Z770" s="78"/>
    </row>
    <row r="771" spans="1:26" ht="12.75" customHeight="1" x14ac:dyDescent="0.2">
      <c r="A771" s="78"/>
      <c r="B771" s="78"/>
      <c r="C771" s="78"/>
      <c r="D771" s="78"/>
      <c r="E771" s="78"/>
      <c r="F771" s="78"/>
      <c r="G771" s="78"/>
      <c r="H771" s="78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  <c r="Y771" s="78"/>
      <c r="Z771" s="78"/>
    </row>
    <row r="772" spans="1:26" ht="12.75" customHeight="1" x14ac:dyDescent="0.2">
      <c r="A772" s="78"/>
      <c r="B772" s="78"/>
      <c r="C772" s="78"/>
      <c r="D772" s="78"/>
      <c r="E772" s="78"/>
      <c r="F772" s="78"/>
      <c r="G772" s="78"/>
      <c r="H772" s="78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8"/>
      <c r="Z772" s="78"/>
    </row>
    <row r="773" spans="1:26" ht="12.75" customHeight="1" x14ac:dyDescent="0.2">
      <c r="A773" s="78"/>
      <c r="B773" s="78"/>
      <c r="C773" s="78"/>
      <c r="D773" s="78"/>
      <c r="E773" s="78"/>
      <c r="F773" s="78"/>
      <c r="G773" s="78"/>
      <c r="H773" s="78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  <c r="Y773" s="78"/>
      <c r="Z773" s="78"/>
    </row>
    <row r="774" spans="1:26" ht="12.75" customHeight="1" x14ac:dyDescent="0.2">
      <c r="A774" s="78"/>
      <c r="B774" s="78"/>
      <c r="C774" s="78"/>
      <c r="D774" s="78"/>
      <c r="E774" s="78"/>
      <c r="F774" s="78"/>
      <c r="G774" s="78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  <c r="Z774" s="78"/>
    </row>
    <row r="775" spans="1:26" ht="12.75" customHeight="1" x14ac:dyDescent="0.2">
      <c r="A775" s="78"/>
      <c r="B775" s="78"/>
      <c r="C775" s="78"/>
      <c r="D775" s="78"/>
      <c r="E775" s="78"/>
      <c r="F775" s="78"/>
      <c r="G775" s="78"/>
      <c r="H775" s="78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  <c r="Y775" s="78"/>
      <c r="Z775" s="78"/>
    </row>
    <row r="776" spans="1:26" ht="12.75" customHeight="1" x14ac:dyDescent="0.2">
      <c r="A776" s="78"/>
      <c r="B776" s="78"/>
      <c r="C776" s="78"/>
      <c r="D776" s="78"/>
      <c r="E776" s="78"/>
      <c r="F776" s="78"/>
      <c r="G776" s="78"/>
      <c r="H776" s="78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  <c r="Y776" s="78"/>
      <c r="Z776" s="78"/>
    </row>
    <row r="777" spans="1:26" ht="12.75" customHeight="1" x14ac:dyDescent="0.2">
      <c r="A777" s="78"/>
      <c r="B777" s="78"/>
      <c r="C777" s="78"/>
      <c r="D777" s="78"/>
      <c r="E777" s="78"/>
      <c r="F777" s="78"/>
      <c r="G777" s="78"/>
      <c r="H777" s="78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  <c r="Y777" s="78"/>
      <c r="Z777" s="78"/>
    </row>
    <row r="778" spans="1:26" ht="12.75" customHeight="1" x14ac:dyDescent="0.2">
      <c r="A778" s="78"/>
      <c r="B778" s="78"/>
      <c r="C778" s="78"/>
      <c r="D778" s="78"/>
      <c r="E778" s="78"/>
      <c r="F778" s="78"/>
      <c r="G778" s="78"/>
      <c r="H778" s="78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  <c r="Y778" s="78"/>
      <c r="Z778" s="78"/>
    </row>
    <row r="779" spans="1:26" ht="12.75" customHeight="1" x14ac:dyDescent="0.2">
      <c r="A779" s="78"/>
      <c r="B779" s="78"/>
      <c r="C779" s="78"/>
      <c r="D779" s="78"/>
      <c r="E779" s="78"/>
      <c r="F779" s="78"/>
      <c r="G779" s="78"/>
      <c r="H779" s="78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  <c r="Y779" s="78"/>
      <c r="Z779" s="78"/>
    </row>
    <row r="780" spans="1:26" ht="12.75" customHeight="1" x14ac:dyDescent="0.2">
      <c r="A780" s="78"/>
      <c r="B780" s="78"/>
      <c r="C780" s="78"/>
      <c r="D780" s="78"/>
      <c r="E780" s="78"/>
      <c r="F780" s="78"/>
      <c r="G780" s="78"/>
      <c r="H780" s="78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  <c r="Y780" s="78"/>
      <c r="Z780" s="78"/>
    </row>
    <row r="781" spans="1:26" ht="12.75" customHeight="1" x14ac:dyDescent="0.2">
      <c r="A781" s="78"/>
      <c r="B781" s="78"/>
      <c r="C781" s="78"/>
      <c r="D781" s="78"/>
      <c r="E781" s="78"/>
      <c r="F781" s="78"/>
      <c r="G781" s="78"/>
      <c r="H781" s="78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  <c r="Y781" s="78"/>
      <c r="Z781" s="78"/>
    </row>
    <row r="782" spans="1:26" ht="12.75" customHeight="1" x14ac:dyDescent="0.2">
      <c r="A782" s="78"/>
      <c r="B782" s="78"/>
      <c r="C782" s="78"/>
      <c r="D782" s="78"/>
      <c r="E782" s="78"/>
      <c r="F782" s="78"/>
      <c r="G782" s="78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  <c r="Z782" s="78"/>
    </row>
    <row r="783" spans="1:26" ht="12.75" customHeight="1" x14ac:dyDescent="0.2">
      <c r="A783" s="78"/>
      <c r="B783" s="78"/>
      <c r="C783" s="78"/>
      <c r="D783" s="78"/>
      <c r="E783" s="78"/>
      <c r="F783" s="78"/>
      <c r="G783" s="78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  <c r="Y783" s="78"/>
      <c r="Z783" s="78"/>
    </row>
    <row r="784" spans="1:26" ht="12.75" customHeight="1" x14ac:dyDescent="0.2">
      <c r="A784" s="78"/>
      <c r="B784" s="78"/>
      <c r="C784" s="78"/>
      <c r="D784" s="78"/>
      <c r="E784" s="78"/>
      <c r="F784" s="78"/>
      <c r="G784" s="78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8"/>
      <c r="Z784" s="78"/>
    </row>
    <row r="785" spans="1:26" ht="12.75" customHeight="1" x14ac:dyDescent="0.2">
      <c r="A785" s="78"/>
      <c r="B785" s="78"/>
      <c r="C785" s="78"/>
      <c r="D785" s="78"/>
      <c r="E785" s="78"/>
      <c r="F785" s="78"/>
      <c r="G785" s="78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8"/>
      <c r="Z785" s="78"/>
    </row>
    <row r="786" spans="1:26" ht="12.75" customHeight="1" x14ac:dyDescent="0.2">
      <c r="A786" s="78"/>
      <c r="B786" s="78"/>
      <c r="C786" s="78"/>
      <c r="D786" s="78"/>
      <c r="E786" s="78"/>
      <c r="F786" s="78"/>
      <c r="G786" s="78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8"/>
      <c r="Z786" s="78"/>
    </row>
    <row r="787" spans="1:26" ht="12.75" customHeight="1" x14ac:dyDescent="0.2">
      <c r="A787" s="78"/>
      <c r="B787" s="78"/>
      <c r="C787" s="78"/>
      <c r="D787" s="78"/>
      <c r="E787" s="78"/>
      <c r="F787" s="78"/>
      <c r="G787" s="78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8"/>
      <c r="Z787" s="78"/>
    </row>
    <row r="788" spans="1:26" ht="12.75" customHeight="1" x14ac:dyDescent="0.2">
      <c r="A788" s="78"/>
      <c r="B788" s="78"/>
      <c r="C788" s="78"/>
      <c r="D788" s="78"/>
      <c r="E788" s="78"/>
      <c r="F788" s="78"/>
      <c r="G788" s="78"/>
      <c r="H788" s="78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8"/>
      <c r="Z788" s="78"/>
    </row>
    <row r="789" spans="1:26" ht="12.75" customHeight="1" x14ac:dyDescent="0.2">
      <c r="A789" s="78"/>
      <c r="B789" s="78"/>
      <c r="C789" s="78"/>
      <c r="D789" s="78"/>
      <c r="E789" s="78"/>
      <c r="F789" s="78"/>
      <c r="G789" s="78"/>
      <c r="H789" s="78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8"/>
      <c r="Z789" s="78"/>
    </row>
    <row r="790" spans="1:26" ht="12.75" customHeight="1" x14ac:dyDescent="0.2">
      <c r="A790" s="78"/>
      <c r="B790" s="78"/>
      <c r="C790" s="78"/>
      <c r="D790" s="78"/>
      <c r="E790" s="78"/>
      <c r="F790" s="78"/>
      <c r="G790" s="78"/>
      <c r="H790" s="78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  <c r="Z790" s="78"/>
    </row>
    <row r="791" spans="1:26" ht="12.75" customHeight="1" x14ac:dyDescent="0.2">
      <c r="A791" s="78"/>
      <c r="B791" s="78"/>
      <c r="C791" s="78"/>
      <c r="D791" s="78"/>
      <c r="E791" s="78"/>
      <c r="F791" s="78"/>
      <c r="G791" s="78"/>
      <c r="H791" s="78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  <c r="Y791" s="78"/>
      <c r="Z791" s="78"/>
    </row>
    <row r="792" spans="1:26" ht="12.75" customHeight="1" x14ac:dyDescent="0.2">
      <c r="A792" s="78"/>
      <c r="B792" s="78"/>
      <c r="C792" s="78"/>
      <c r="D792" s="78"/>
      <c r="E792" s="78"/>
      <c r="F792" s="78"/>
      <c r="G792" s="78"/>
      <c r="H792" s="78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8"/>
      <c r="Z792" s="78"/>
    </row>
    <row r="793" spans="1:26" ht="12.75" customHeight="1" x14ac:dyDescent="0.2">
      <c r="A793" s="78"/>
      <c r="B793" s="78"/>
      <c r="C793" s="78"/>
      <c r="D793" s="78"/>
      <c r="E793" s="78"/>
      <c r="F793" s="78"/>
      <c r="G793" s="78"/>
      <c r="H793" s="78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  <c r="Y793" s="78"/>
      <c r="Z793" s="78"/>
    </row>
    <row r="794" spans="1:26" ht="12.75" customHeight="1" x14ac:dyDescent="0.2">
      <c r="A794" s="78"/>
      <c r="B794" s="78"/>
      <c r="C794" s="78"/>
      <c r="D794" s="78"/>
      <c r="E794" s="78"/>
      <c r="F794" s="78"/>
      <c r="G794" s="78"/>
      <c r="H794" s="78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  <c r="Y794" s="78"/>
      <c r="Z794" s="78"/>
    </row>
    <row r="795" spans="1:26" ht="12.75" customHeight="1" x14ac:dyDescent="0.2">
      <c r="A795" s="78"/>
      <c r="B795" s="78"/>
      <c r="C795" s="78"/>
      <c r="D795" s="78"/>
      <c r="E795" s="78"/>
      <c r="F795" s="78"/>
      <c r="G795" s="78"/>
      <c r="H795" s="78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  <c r="Y795" s="78"/>
      <c r="Z795" s="78"/>
    </row>
    <row r="796" spans="1:26" ht="12.75" customHeight="1" x14ac:dyDescent="0.2">
      <c r="A796" s="78"/>
      <c r="B796" s="78"/>
      <c r="C796" s="78"/>
      <c r="D796" s="78"/>
      <c r="E796" s="78"/>
      <c r="F796" s="78"/>
      <c r="G796" s="78"/>
      <c r="H796" s="78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  <c r="Y796" s="78"/>
      <c r="Z796" s="78"/>
    </row>
    <row r="797" spans="1:26" ht="12.75" customHeight="1" x14ac:dyDescent="0.2">
      <c r="A797" s="78"/>
      <c r="B797" s="78"/>
      <c r="C797" s="78"/>
      <c r="D797" s="78"/>
      <c r="E797" s="78"/>
      <c r="F797" s="78"/>
      <c r="G797" s="78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  <c r="Z797" s="78"/>
    </row>
    <row r="798" spans="1:26" ht="12.75" customHeight="1" x14ac:dyDescent="0.2">
      <c r="A798" s="78"/>
      <c r="B798" s="78"/>
      <c r="C798" s="78"/>
      <c r="D798" s="78"/>
      <c r="E798" s="78"/>
      <c r="F798" s="78"/>
      <c r="G798" s="78"/>
      <c r="H798" s="78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  <c r="Y798" s="78"/>
      <c r="Z798" s="78"/>
    </row>
    <row r="799" spans="1:26" ht="12.75" customHeight="1" x14ac:dyDescent="0.2">
      <c r="A799" s="78"/>
      <c r="B799" s="78"/>
      <c r="C799" s="78"/>
      <c r="D799" s="78"/>
      <c r="E799" s="78"/>
      <c r="F799" s="78"/>
      <c r="G799" s="78"/>
      <c r="H799" s="78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  <c r="Y799" s="78"/>
      <c r="Z799" s="78"/>
    </row>
    <row r="800" spans="1:26" ht="12.75" customHeight="1" x14ac:dyDescent="0.2">
      <c r="A800" s="78"/>
      <c r="B800" s="78"/>
      <c r="C800" s="78"/>
      <c r="D800" s="78"/>
      <c r="E800" s="78"/>
      <c r="F800" s="78"/>
      <c r="G800" s="78"/>
      <c r="H800" s="78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  <c r="Y800" s="78"/>
      <c r="Z800" s="78"/>
    </row>
    <row r="801" spans="1:26" ht="12.75" customHeight="1" x14ac:dyDescent="0.2">
      <c r="A801" s="78"/>
      <c r="B801" s="78"/>
      <c r="C801" s="78"/>
      <c r="D801" s="78"/>
      <c r="E801" s="78"/>
      <c r="F801" s="78"/>
      <c r="G801" s="78"/>
      <c r="H801" s="78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  <c r="Y801" s="78"/>
      <c r="Z801" s="78"/>
    </row>
    <row r="802" spans="1:26" ht="12.75" customHeight="1" x14ac:dyDescent="0.2">
      <c r="A802" s="78"/>
      <c r="B802" s="78"/>
      <c r="C802" s="78"/>
      <c r="D802" s="78"/>
      <c r="E802" s="78"/>
      <c r="F802" s="78"/>
      <c r="G802" s="78"/>
      <c r="H802" s="78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8"/>
      <c r="Z802" s="78"/>
    </row>
    <row r="803" spans="1:26" ht="12.75" customHeight="1" x14ac:dyDescent="0.2">
      <c r="A803" s="78"/>
      <c r="B803" s="78"/>
      <c r="C803" s="78"/>
      <c r="D803" s="78"/>
      <c r="E803" s="78"/>
      <c r="F803" s="78"/>
      <c r="G803" s="78"/>
      <c r="H803" s="78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  <c r="Z803" s="78"/>
    </row>
    <row r="804" spans="1:26" ht="12.75" customHeight="1" x14ac:dyDescent="0.2">
      <c r="A804" s="78"/>
      <c r="B804" s="78"/>
      <c r="C804" s="78"/>
      <c r="D804" s="78"/>
      <c r="E804" s="78"/>
      <c r="F804" s="78"/>
      <c r="G804" s="78"/>
      <c r="H804" s="78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  <c r="Y804" s="78"/>
      <c r="Z804" s="78"/>
    </row>
    <row r="805" spans="1:26" ht="12.75" customHeight="1" x14ac:dyDescent="0.2">
      <c r="A805" s="78"/>
      <c r="B805" s="78"/>
      <c r="C805" s="78"/>
      <c r="D805" s="78"/>
      <c r="E805" s="78"/>
      <c r="F805" s="78"/>
      <c r="G805" s="78"/>
      <c r="H805" s="78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  <c r="Y805" s="78"/>
      <c r="Z805" s="78"/>
    </row>
    <row r="806" spans="1:26" ht="12.75" customHeight="1" x14ac:dyDescent="0.2">
      <c r="A806" s="78"/>
      <c r="B806" s="78"/>
      <c r="C806" s="78"/>
      <c r="D806" s="78"/>
      <c r="E806" s="78"/>
      <c r="F806" s="78"/>
      <c r="G806" s="78"/>
      <c r="H806" s="78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  <c r="Y806" s="78"/>
      <c r="Z806" s="78"/>
    </row>
    <row r="807" spans="1:26" ht="12.75" customHeight="1" x14ac:dyDescent="0.2">
      <c r="A807" s="78"/>
      <c r="B807" s="78"/>
      <c r="C807" s="78"/>
      <c r="D807" s="78"/>
      <c r="E807" s="78"/>
      <c r="F807" s="78"/>
      <c r="G807" s="78"/>
      <c r="H807" s="78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  <c r="Y807" s="78"/>
      <c r="Z807" s="78"/>
    </row>
    <row r="808" spans="1:26" ht="12.75" customHeight="1" x14ac:dyDescent="0.2">
      <c r="A808" s="78"/>
      <c r="B808" s="78"/>
      <c r="C808" s="78"/>
      <c r="D808" s="78"/>
      <c r="E808" s="78"/>
      <c r="F808" s="78"/>
      <c r="G808" s="78"/>
      <c r="H808" s="78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  <c r="Y808" s="78"/>
      <c r="Z808" s="78"/>
    </row>
    <row r="809" spans="1:26" ht="12.75" customHeight="1" x14ac:dyDescent="0.2">
      <c r="A809" s="78"/>
      <c r="B809" s="78"/>
      <c r="C809" s="78"/>
      <c r="D809" s="78"/>
      <c r="E809" s="78"/>
      <c r="F809" s="78"/>
      <c r="G809" s="78"/>
      <c r="H809" s="78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  <c r="Y809" s="78"/>
      <c r="Z809" s="78"/>
    </row>
    <row r="810" spans="1:26" ht="12.75" customHeight="1" x14ac:dyDescent="0.2">
      <c r="A810" s="78"/>
      <c r="B810" s="78"/>
      <c r="C810" s="78"/>
      <c r="D810" s="78"/>
      <c r="E810" s="78"/>
      <c r="F810" s="78"/>
      <c r="G810" s="78"/>
      <c r="H810" s="78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  <c r="Y810" s="78"/>
      <c r="Z810" s="78"/>
    </row>
    <row r="811" spans="1:26" ht="12.75" customHeight="1" x14ac:dyDescent="0.2">
      <c r="A811" s="78"/>
      <c r="B811" s="78"/>
      <c r="C811" s="78"/>
      <c r="D811" s="78"/>
      <c r="E811" s="78"/>
      <c r="F811" s="78"/>
      <c r="G811" s="78"/>
      <c r="H811" s="78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  <c r="Y811" s="78"/>
      <c r="Z811" s="78"/>
    </row>
    <row r="812" spans="1:26" ht="12.75" customHeight="1" x14ac:dyDescent="0.2">
      <c r="A812" s="78"/>
      <c r="B812" s="78"/>
      <c r="C812" s="78"/>
      <c r="D812" s="78"/>
      <c r="E812" s="78"/>
      <c r="F812" s="78"/>
      <c r="G812" s="78"/>
      <c r="H812" s="78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  <c r="Y812" s="78"/>
      <c r="Z812" s="78"/>
    </row>
    <row r="813" spans="1:26" ht="12.75" customHeight="1" x14ac:dyDescent="0.2">
      <c r="A813" s="78"/>
      <c r="B813" s="78"/>
      <c r="C813" s="78"/>
      <c r="D813" s="78"/>
      <c r="E813" s="78"/>
      <c r="F813" s="78"/>
      <c r="G813" s="78"/>
      <c r="H813" s="78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  <c r="Y813" s="78"/>
      <c r="Z813" s="78"/>
    </row>
    <row r="814" spans="1:26" ht="12.75" customHeight="1" x14ac:dyDescent="0.2">
      <c r="A814" s="78"/>
      <c r="B814" s="78"/>
      <c r="C814" s="78"/>
      <c r="D814" s="78"/>
      <c r="E814" s="78"/>
      <c r="F814" s="78"/>
      <c r="G814" s="78"/>
      <c r="H814" s="78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  <c r="Y814" s="78"/>
      <c r="Z814" s="78"/>
    </row>
    <row r="815" spans="1:26" ht="12.75" customHeight="1" x14ac:dyDescent="0.2">
      <c r="A815" s="78"/>
      <c r="B815" s="78"/>
      <c r="C815" s="78"/>
      <c r="D815" s="78"/>
      <c r="E815" s="78"/>
      <c r="F815" s="78"/>
      <c r="G815" s="78"/>
      <c r="H815" s="78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  <c r="Y815" s="78"/>
      <c r="Z815" s="78"/>
    </row>
    <row r="816" spans="1:26" ht="12.75" customHeight="1" x14ac:dyDescent="0.2">
      <c r="A816" s="78"/>
      <c r="B816" s="78"/>
      <c r="C816" s="78"/>
      <c r="D816" s="78"/>
      <c r="E816" s="78"/>
      <c r="F816" s="78"/>
      <c r="G816" s="78"/>
      <c r="H816" s="78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  <c r="Y816" s="78"/>
      <c r="Z816" s="78"/>
    </row>
    <row r="817" spans="1:26" ht="12.75" customHeight="1" x14ac:dyDescent="0.2">
      <c r="A817" s="78"/>
      <c r="B817" s="78"/>
      <c r="C817" s="78"/>
      <c r="D817" s="78"/>
      <c r="E817" s="78"/>
      <c r="F817" s="78"/>
      <c r="G817" s="78"/>
      <c r="H817" s="78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  <c r="Y817" s="78"/>
      <c r="Z817" s="78"/>
    </row>
    <row r="818" spans="1:26" ht="12.75" customHeight="1" x14ac:dyDescent="0.2">
      <c r="A818" s="78"/>
      <c r="B818" s="78"/>
      <c r="C818" s="78"/>
      <c r="D818" s="78"/>
      <c r="E818" s="78"/>
      <c r="F818" s="78"/>
      <c r="G818" s="78"/>
      <c r="H818" s="78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  <c r="Y818" s="78"/>
      <c r="Z818" s="78"/>
    </row>
    <row r="819" spans="1:26" ht="12.75" customHeight="1" x14ac:dyDescent="0.2">
      <c r="A819" s="78"/>
      <c r="B819" s="78"/>
      <c r="C819" s="78"/>
      <c r="D819" s="78"/>
      <c r="E819" s="78"/>
      <c r="F819" s="78"/>
      <c r="G819" s="78"/>
      <c r="H819" s="78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  <c r="Y819" s="78"/>
      <c r="Z819" s="78"/>
    </row>
    <row r="820" spans="1:26" ht="12.75" customHeight="1" x14ac:dyDescent="0.2">
      <c r="A820" s="78"/>
      <c r="B820" s="78"/>
      <c r="C820" s="78"/>
      <c r="D820" s="78"/>
      <c r="E820" s="78"/>
      <c r="F820" s="78"/>
      <c r="G820" s="78"/>
      <c r="H820" s="78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  <c r="Y820" s="78"/>
      <c r="Z820" s="78"/>
    </row>
    <row r="821" spans="1:26" ht="12.75" customHeight="1" x14ac:dyDescent="0.2">
      <c r="A821" s="78"/>
      <c r="B821" s="78"/>
      <c r="C821" s="78"/>
      <c r="D821" s="78"/>
      <c r="E821" s="78"/>
      <c r="F821" s="78"/>
      <c r="G821" s="78"/>
      <c r="H821" s="78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  <c r="Y821" s="78"/>
      <c r="Z821" s="78"/>
    </row>
    <row r="822" spans="1:26" ht="12.75" customHeight="1" x14ac:dyDescent="0.2">
      <c r="A822" s="78"/>
      <c r="B822" s="78"/>
      <c r="C822" s="78"/>
      <c r="D822" s="78"/>
      <c r="E822" s="78"/>
      <c r="F822" s="78"/>
      <c r="G822" s="78"/>
      <c r="H822" s="78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  <c r="Y822" s="78"/>
      <c r="Z822" s="78"/>
    </row>
    <row r="823" spans="1:26" ht="12.75" customHeight="1" x14ac:dyDescent="0.2">
      <c r="A823" s="78"/>
      <c r="B823" s="78"/>
      <c r="C823" s="78"/>
      <c r="D823" s="78"/>
      <c r="E823" s="78"/>
      <c r="F823" s="78"/>
      <c r="G823" s="78"/>
      <c r="H823" s="78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  <c r="Y823" s="78"/>
      <c r="Z823" s="78"/>
    </row>
    <row r="824" spans="1:26" ht="12.75" customHeight="1" x14ac:dyDescent="0.2">
      <c r="A824" s="78"/>
      <c r="B824" s="78"/>
      <c r="C824" s="78"/>
      <c r="D824" s="78"/>
      <c r="E824" s="78"/>
      <c r="F824" s="78"/>
      <c r="G824" s="78"/>
      <c r="H824" s="78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  <c r="Y824" s="78"/>
      <c r="Z824" s="78"/>
    </row>
    <row r="825" spans="1:26" ht="12.75" customHeight="1" x14ac:dyDescent="0.2">
      <c r="A825" s="78"/>
      <c r="B825" s="78"/>
      <c r="C825" s="78"/>
      <c r="D825" s="78"/>
      <c r="E825" s="78"/>
      <c r="F825" s="78"/>
      <c r="G825" s="78"/>
      <c r="H825" s="78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  <c r="Y825" s="78"/>
      <c r="Z825" s="78"/>
    </row>
    <row r="826" spans="1:26" ht="12.75" customHeight="1" x14ac:dyDescent="0.2">
      <c r="A826" s="78"/>
      <c r="B826" s="78"/>
      <c r="C826" s="78"/>
      <c r="D826" s="78"/>
      <c r="E826" s="78"/>
      <c r="F826" s="78"/>
      <c r="G826" s="78"/>
      <c r="H826" s="78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  <c r="Y826" s="78"/>
      <c r="Z826" s="78"/>
    </row>
    <row r="827" spans="1:26" ht="12.75" customHeight="1" x14ac:dyDescent="0.2">
      <c r="A827" s="78"/>
      <c r="B827" s="78"/>
      <c r="C827" s="78"/>
      <c r="D827" s="78"/>
      <c r="E827" s="78"/>
      <c r="F827" s="78"/>
      <c r="G827" s="78"/>
      <c r="H827" s="78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  <c r="Y827" s="78"/>
      <c r="Z827" s="78"/>
    </row>
    <row r="828" spans="1:26" ht="12.75" customHeight="1" x14ac:dyDescent="0.2">
      <c r="A828" s="78"/>
      <c r="B828" s="78"/>
      <c r="C828" s="78"/>
      <c r="D828" s="78"/>
      <c r="E828" s="78"/>
      <c r="F828" s="78"/>
      <c r="G828" s="78"/>
      <c r="H828" s="78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  <c r="Y828" s="78"/>
      <c r="Z828" s="78"/>
    </row>
    <row r="829" spans="1:26" ht="12.75" customHeight="1" x14ac:dyDescent="0.2">
      <c r="A829" s="78"/>
      <c r="B829" s="78"/>
      <c r="C829" s="78"/>
      <c r="D829" s="78"/>
      <c r="E829" s="78"/>
      <c r="F829" s="78"/>
      <c r="G829" s="78"/>
      <c r="H829" s="78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  <c r="Y829" s="78"/>
      <c r="Z829" s="78"/>
    </row>
    <row r="830" spans="1:26" ht="12.75" customHeight="1" x14ac:dyDescent="0.2">
      <c r="A830" s="78"/>
      <c r="B830" s="78"/>
      <c r="C830" s="78"/>
      <c r="D830" s="78"/>
      <c r="E830" s="78"/>
      <c r="F830" s="78"/>
      <c r="G830" s="78"/>
      <c r="H830" s="78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  <c r="Y830" s="78"/>
      <c r="Z830" s="78"/>
    </row>
    <row r="831" spans="1:26" ht="12.75" customHeight="1" x14ac:dyDescent="0.2">
      <c r="A831" s="78"/>
      <c r="B831" s="78"/>
      <c r="C831" s="78"/>
      <c r="D831" s="78"/>
      <c r="E831" s="78"/>
      <c r="F831" s="78"/>
      <c r="G831" s="78"/>
      <c r="H831" s="78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  <c r="Y831" s="78"/>
      <c r="Z831" s="78"/>
    </row>
    <row r="832" spans="1:26" ht="12.75" customHeight="1" x14ac:dyDescent="0.2">
      <c r="A832" s="78"/>
      <c r="B832" s="78"/>
      <c r="C832" s="78"/>
      <c r="D832" s="78"/>
      <c r="E832" s="78"/>
      <c r="F832" s="78"/>
      <c r="G832" s="78"/>
      <c r="H832" s="78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  <c r="Y832" s="78"/>
      <c r="Z832" s="78"/>
    </row>
    <row r="833" spans="1:26" ht="12.75" customHeight="1" x14ac:dyDescent="0.2">
      <c r="A833" s="78"/>
      <c r="B833" s="78"/>
      <c r="C833" s="78"/>
      <c r="D833" s="78"/>
      <c r="E833" s="78"/>
      <c r="F833" s="78"/>
      <c r="G833" s="78"/>
      <c r="H833" s="78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  <c r="Y833" s="78"/>
      <c r="Z833" s="78"/>
    </row>
    <row r="834" spans="1:26" ht="12.75" customHeight="1" x14ac:dyDescent="0.2">
      <c r="A834" s="78"/>
      <c r="B834" s="78"/>
      <c r="C834" s="78"/>
      <c r="D834" s="78"/>
      <c r="E834" s="78"/>
      <c r="F834" s="78"/>
      <c r="G834" s="78"/>
      <c r="H834" s="78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8"/>
      <c r="Z834" s="78"/>
    </row>
    <row r="835" spans="1:26" ht="12.75" customHeight="1" x14ac:dyDescent="0.2">
      <c r="A835" s="78"/>
      <c r="B835" s="78"/>
      <c r="C835" s="78"/>
      <c r="D835" s="78"/>
      <c r="E835" s="78"/>
      <c r="F835" s="78"/>
      <c r="G835" s="78"/>
      <c r="H835" s="78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  <c r="Y835" s="78"/>
      <c r="Z835" s="78"/>
    </row>
    <row r="836" spans="1:26" ht="12.75" customHeight="1" x14ac:dyDescent="0.2">
      <c r="A836" s="78"/>
      <c r="B836" s="78"/>
      <c r="C836" s="78"/>
      <c r="D836" s="78"/>
      <c r="E836" s="78"/>
      <c r="F836" s="78"/>
      <c r="G836" s="78"/>
      <c r="H836" s="78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  <c r="Y836" s="78"/>
      <c r="Z836" s="78"/>
    </row>
    <row r="837" spans="1:26" ht="12.75" customHeight="1" x14ac:dyDescent="0.2">
      <c r="A837" s="78"/>
      <c r="B837" s="78"/>
      <c r="C837" s="78"/>
      <c r="D837" s="78"/>
      <c r="E837" s="78"/>
      <c r="F837" s="78"/>
      <c r="G837" s="78"/>
      <c r="H837" s="78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  <c r="Y837" s="78"/>
      <c r="Z837" s="78"/>
    </row>
    <row r="838" spans="1:26" ht="12.75" customHeight="1" x14ac:dyDescent="0.2">
      <c r="A838" s="78"/>
      <c r="B838" s="78"/>
      <c r="C838" s="78"/>
      <c r="D838" s="78"/>
      <c r="E838" s="78"/>
      <c r="F838" s="78"/>
      <c r="G838" s="78"/>
      <c r="H838" s="78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8"/>
      <c r="Z838" s="78"/>
    </row>
    <row r="839" spans="1:26" ht="12.75" customHeight="1" x14ac:dyDescent="0.2">
      <c r="A839" s="78"/>
      <c r="B839" s="78"/>
      <c r="C839" s="78"/>
      <c r="D839" s="78"/>
      <c r="E839" s="78"/>
      <c r="F839" s="78"/>
      <c r="G839" s="78"/>
      <c r="H839" s="78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  <c r="Y839" s="78"/>
      <c r="Z839" s="78"/>
    </row>
    <row r="840" spans="1:26" ht="12.75" customHeight="1" x14ac:dyDescent="0.2">
      <c r="A840" s="78"/>
      <c r="B840" s="78"/>
      <c r="C840" s="78"/>
      <c r="D840" s="78"/>
      <c r="E840" s="78"/>
      <c r="F840" s="78"/>
      <c r="G840" s="78"/>
      <c r="H840" s="78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  <c r="X840" s="78"/>
      <c r="Y840" s="78"/>
      <c r="Z840" s="78"/>
    </row>
    <row r="841" spans="1:26" ht="12.75" customHeight="1" x14ac:dyDescent="0.2">
      <c r="A841" s="78"/>
      <c r="B841" s="78"/>
      <c r="C841" s="78"/>
      <c r="D841" s="78"/>
      <c r="E841" s="78"/>
      <c r="F841" s="78"/>
      <c r="G841" s="78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  <c r="Z841" s="78"/>
    </row>
    <row r="842" spans="1:26" ht="12.75" customHeight="1" x14ac:dyDescent="0.2">
      <c r="A842" s="78"/>
      <c r="B842" s="78"/>
      <c r="C842" s="78"/>
      <c r="D842" s="78"/>
      <c r="E842" s="78"/>
      <c r="F842" s="78"/>
      <c r="G842" s="78"/>
      <c r="H842" s="78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8"/>
      <c r="Z842" s="78"/>
    </row>
    <row r="843" spans="1:26" ht="12.75" customHeight="1" x14ac:dyDescent="0.2">
      <c r="A843" s="78"/>
      <c r="B843" s="78"/>
      <c r="C843" s="78"/>
      <c r="D843" s="78"/>
      <c r="E843" s="78"/>
      <c r="F843" s="78"/>
      <c r="G843" s="78"/>
      <c r="H843" s="78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  <c r="Z843" s="78"/>
    </row>
    <row r="844" spans="1:26" ht="12.75" customHeight="1" x14ac:dyDescent="0.2">
      <c r="A844" s="78"/>
      <c r="B844" s="78"/>
      <c r="C844" s="78"/>
      <c r="D844" s="78"/>
      <c r="E844" s="78"/>
      <c r="F844" s="78"/>
      <c r="G844" s="78"/>
      <c r="H844" s="78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  <c r="Y844" s="78"/>
      <c r="Z844" s="78"/>
    </row>
    <row r="845" spans="1:26" ht="12.75" customHeight="1" x14ac:dyDescent="0.2">
      <c r="A845" s="78"/>
      <c r="B845" s="78"/>
      <c r="C845" s="78"/>
      <c r="D845" s="78"/>
      <c r="E845" s="78"/>
      <c r="F845" s="78"/>
      <c r="G845" s="78"/>
      <c r="H845" s="78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  <c r="Y845" s="78"/>
      <c r="Z845" s="78"/>
    </row>
    <row r="846" spans="1:26" ht="12.75" customHeight="1" x14ac:dyDescent="0.2">
      <c r="A846" s="78"/>
      <c r="B846" s="78"/>
      <c r="C846" s="78"/>
      <c r="D846" s="78"/>
      <c r="E846" s="78"/>
      <c r="F846" s="78"/>
      <c r="G846" s="78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  <c r="Y846" s="78"/>
      <c r="Z846" s="78"/>
    </row>
    <row r="847" spans="1:26" ht="12.75" customHeight="1" x14ac:dyDescent="0.2">
      <c r="A847" s="78"/>
      <c r="B847" s="78"/>
      <c r="C847" s="78"/>
      <c r="D847" s="78"/>
      <c r="E847" s="78"/>
      <c r="F847" s="78"/>
      <c r="G847" s="78"/>
      <c r="H847" s="78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  <c r="Y847" s="78"/>
      <c r="Z847" s="78"/>
    </row>
    <row r="848" spans="1:26" ht="12.75" customHeight="1" x14ac:dyDescent="0.2">
      <c r="A848" s="78"/>
      <c r="B848" s="78"/>
      <c r="C848" s="78"/>
      <c r="D848" s="78"/>
      <c r="E848" s="78"/>
      <c r="F848" s="78"/>
      <c r="G848" s="78"/>
      <c r="H848" s="78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  <c r="Y848" s="78"/>
      <c r="Z848" s="78"/>
    </row>
    <row r="849" spans="1:26" ht="12.75" customHeight="1" x14ac:dyDescent="0.2">
      <c r="A849" s="78"/>
      <c r="B849" s="78"/>
      <c r="C849" s="78"/>
      <c r="D849" s="78"/>
      <c r="E849" s="78"/>
      <c r="F849" s="78"/>
      <c r="G849" s="78"/>
      <c r="H849" s="78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  <c r="Y849" s="78"/>
      <c r="Z849" s="78"/>
    </row>
    <row r="850" spans="1:26" ht="12.75" customHeight="1" x14ac:dyDescent="0.2">
      <c r="A850" s="78"/>
      <c r="B850" s="78"/>
      <c r="C850" s="78"/>
      <c r="D850" s="78"/>
      <c r="E850" s="78"/>
      <c r="F850" s="78"/>
      <c r="G850" s="78"/>
      <c r="H850" s="78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  <c r="Y850" s="78"/>
      <c r="Z850" s="78"/>
    </row>
    <row r="851" spans="1:26" ht="12.75" customHeight="1" x14ac:dyDescent="0.2">
      <c r="A851" s="78"/>
      <c r="B851" s="78"/>
      <c r="C851" s="78"/>
      <c r="D851" s="78"/>
      <c r="E851" s="78"/>
      <c r="F851" s="78"/>
      <c r="G851" s="78"/>
      <c r="H851" s="78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  <c r="Y851" s="78"/>
      <c r="Z851" s="78"/>
    </row>
    <row r="852" spans="1:26" ht="12.75" customHeight="1" x14ac:dyDescent="0.2">
      <c r="A852" s="78"/>
      <c r="B852" s="78"/>
      <c r="C852" s="78"/>
      <c r="D852" s="78"/>
      <c r="E852" s="78"/>
      <c r="F852" s="78"/>
      <c r="G852" s="78"/>
      <c r="H852" s="78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  <c r="Y852" s="78"/>
      <c r="Z852" s="78"/>
    </row>
    <row r="853" spans="1:26" ht="12.75" customHeight="1" x14ac:dyDescent="0.2">
      <c r="A853" s="78"/>
      <c r="B853" s="78"/>
      <c r="C853" s="78"/>
      <c r="D853" s="78"/>
      <c r="E853" s="78"/>
      <c r="F853" s="78"/>
      <c r="G853" s="78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  <c r="Z853" s="78"/>
    </row>
    <row r="854" spans="1:26" ht="12.75" customHeight="1" x14ac:dyDescent="0.2">
      <c r="A854" s="78"/>
      <c r="B854" s="78"/>
      <c r="C854" s="78"/>
      <c r="D854" s="78"/>
      <c r="E854" s="78"/>
      <c r="F854" s="78"/>
      <c r="G854" s="78"/>
      <c r="H854" s="78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  <c r="Y854" s="78"/>
      <c r="Z854" s="78"/>
    </row>
    <row r="855" spans="1:26" ht="12.75" customHeight="1" x14ac:dyDescent="0.2">
      <c r="A855" s="78"/>
      <c r="B855" s="78"/>
      <c r="C855" s="78"/>
      <c r="D855" s="78"/>
      <c r="E855" s="78"/>
      <c r="F855" s="78"/>
      <c r="G855" s="78"/>
      <c r="H855" s="78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  <c r="Y855" s="78"/>
      <c r="Z855" s="78"/>
    </row>
    <row r="856" spans="1:26" ht="12.75" customHeight="1" x14ac:dyDescent="0.2">
      <c r="A856" s="78"/>
      <c r="B856" s="78"/>
      <c r="C856" s="78"/>
      <c r="D856" s="78"/>
      <c r="E856" s="78"/>
      <c r="F856" s="78"/>
      <c r="G856" s="78"/>
      <c r="H856" s="78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8"/>
      <c r="Z856" s="78"/>
    </row>
    <row r="857" spans="1:26" ht="12.75" customHeight="1" x14ac:dyDescent="0.2">
      <c r="A857" s="78"/>
      <c r="B857" s="78"/>
      <c r="C857" s="78"/>
      <c r="D857" s="78"/>
      <c r="E857" s="78"/>
      <c r="F857" s="78"/>
      <c r="G857" s="78"/>
      <c r="H857" s="78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  <c r="Y857" s="78"/>
      <c r="Z857" s="78"/>
    </row>
    <row r="858" spans="1:26" ht="12.75" customHeight="1" x14ac:dyDescent="0.2">
      <c r="A858" s="78"/>
      <c r="B858" s="78"/>
      <c r="C858" s="78"/>
      <c r="D858" s="78"/>
      <c r="E858" s="78"/>
      <c r="F858" s="78"/>
      <c r="G858" s="78"/>
      <c r="H858" s="78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  <c r="Y858" s="78"/>
      <c r="Z858" s="78"/>
    </row>
    <row r="859" spans="1:26" ht="12.75" customHeight="1" x14ac:dyDescent="0.2">
      <c r="A859" s="78"/>
      <c r="B859" s="78"/>
      <c r="C859" s="78"/>
      <c r="D859" s="78"/>
      <c r="E859" s="78"/>
      <c r="F859" s="78"/>
      <c r="G859" s="78"/>
      <c r="H859" s="78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  <c r="Y859" s="78"/>
      <c r="Z859" s="78"/>
    </row>
    <row r="860" spans="1:26" ht="12.75" customHeight="1" x14ac:dyDescent="0.2">
      <c r="A860" s="78"/>
      <c r="B860" s="78"/>
      <c r="C860" s="78"/>
      <c r="D860" s="78"/>
      <c r="E860" s="78"/>
      <c r="F860" s="78"/>
      <c r="G860" s="78"/>
      <c r="H860" s="78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  <c r="Y860" s="78"/>
      <c r="Z860" s="78"/>
    </row>
    <row r="861" spans="1:26" ht="12.75" customHeight="1" x14ac:dyDescent="0.2">
      <c r="A861" s="78"/>
      <c r="B861" s="78"/>
      <c r="C861" s="78"/>
      <c r="D861" s="78"/>
      <c r="E861" s="78"/>
      <c r="F861" s="78"/>
      <c r="G861" s="78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  <c r="Z861" s="78"/>
    </row>
    <row r="862" spans="1:26" ht="12.75" customHeight="1" x14ac:dyDescent="0.2">
      <c r="A862" s="78"/>
      <c r="B862" s="78"/>
      <c r="C862" s="78"/>
      <c r="D862" s="78"/>
      <c r="E862" s="78"/>
      <c r="F862" s="78"/>
      <c r="G862" s="78"/>
      <c r="H862" s="78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  <c r="Y862" s="78"/>
      <c r="Z862" s="78"/>
    </row>
    <row r="863" spans="1:26" ht="12.75" customHeight="1" x14ac:dyDescent="0.2">
      <c r="A863" s="78"/>
      <c r="B863" s="78"/>
      <c r="C863" s="78"/>
      <c r="D863" s="78"/>
      <c r="E863" s="78"/>
      <c r="F863" s="78"/>
      <c r="G863" s="78"/>
      <c r="H863" s="78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  <c r="Y863" s="78"/>
      <c r="Z863" s="78"/>
    </row>
    <row r="864" spans="1:26" ht="12.75" customHeight="1" x14ac:dyDescent="0.2">
      <c r="A864" s="78"/>
      <c r="B864" s="78"/>
      <c r="C864" s="78"/>
      <c r="D864" s="78"/>
      <c r="E864" s="78"/>
      <c r="F864" s="78"/>
      <c r="G864" s="78"/>
      <c r="H864" s="78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  <c r="Y864" s="78"/>
      <c r="Z864" s="78"/>
    </row>
    <row r="865" spans="1:26" ht="12.75" customHeight="1" x14ac:dyDescent="0.2">
      <c r="A865" s="78"/>
      <c r="B865" s="78"/>
      <c r="C865" s="78"/>
      <c r="D865" s="78"/>
      <c r="E865" s="78"/>
      <c r="F865" s="78"/>
      <c r="G865" s="78"/>
      <c r="H865" s="78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  <c r="Y865" s="78"/>
      <c r="Z865" s="78"/>
    </row>
    <row r="866" spans="1:26" ht="12.75" customHeight="1" x14ac:dyDescent="0.2">
      <c r="A866" s="78"/>
      <c r="B866" s="78"/>
      <c r="C866" s="78"/>
      <c r="D866" s="78"/>
      <c r="E866" s="78"/>
      <c r="F866" s="78"/>
      <c r="G866" s="78"/>
      <c r="H866" s="78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  <c r="Y866" s="78"/>
      <c r="Z866" s="78"/>
    </row>
    <row r="867" spans="1:26" ht="12.75" customHeight="1" x14ac:dyDescent="0.2">
      <c r="A867" s="78"/>
      <c r="B867" s="78"/>
      <c r="C867" s="78"/>
      <c r="D867" s="78"/>
      <c r="E867" s="78"/>
      <c r="F867" s="78"/>
      <c r="G867" s="78"/>
      <c r="H867" s="78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  <c r="Y867" s="78"/>
      <c r="Z867" s="78"/>
    </row>
    <row r="868" spans="1:26" ht="12.75" customHeight="1" x14ac:dyDescent="0.2">
      <c r="A868" s="78"/>
      <c r="B868" s="78"/>
      <c r="C868" s="78"/>
      <c r="D868" s="78"/>
      <c r="E868" s="78"/>
      <c r="F868" s="78"/>
      <c r="G868" s="78"/>
      <c r="H868" s="78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  <c r="Y868" s="78"/>
      <c r="Z868" s="78"/>
    </row>
    <row r="869" spans="1:26" ht="12.75" customHeight="1" x14ac:dyDescent="0.2">
      <c r="A869" s="78"/>
      <c r="B869" s="78"/>
      <c r="C869" s="78"/>
      <c r="D869" s="78"/>
      <c r="E869" s="78"/>
      <c r="F869" s="78"/>
      <c r="G869" s="78"/>
      <c r="H869" s="78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  <c r="Y869" s="78"/>
      <c r="Z869" s="78"/>
    </row>
    <row r="870" spans="1:26" ht="12.75" customHeight="1" x14ac:dyDescent="0.2">
      <c r="A870" s="78"/>
      <c r="B870" s="78"/>
      <c r="C870" s="78"/>
      <c r="D870" s="78"/>
      <c r="E870" s="78"/>
      <c r="F870" s="78"/>
      <c r="G870" s="78"/>
      <c r="H870" s="78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  <c r="Y870" s="78"/>
      <c r="Z870" s="78"/>
    </row>
    <row r="871" spans="1:26" ht="12.75" customHeight="1" x14ac:dyDescent="0.2">
      <c r="A871" s="78"/>
      <c r="B871" s="78"/>
      <c r="C871" s="78"/>
      <c r="D871" s="78"/>
      <c r="E871" s="78"/>
      <c r="F871" s="78"/>
      <c r="G871" s="78"/>
      <c r="H871" s="78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  <c r="Y871" s="78"/>
      <c r="Z871" s="78"/>
    </row>
    <row r="872" spans="1:26" ht="12.75" customHeight="1" x14ac:dyDescent="0.2">
      <c r="A872" s="78"/>
      <c r="B872" s="78"/>
      <c r="C872" s="78"/>
      <c r="D872" s="78"/>
      <c r="E872" s="78"/>
      <c r="F872" s="78"/>
      <c r="G872" s="78"/>
      <c r="H872" s="78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  <c r="Y872" s="78"/>
      <c r="Z872" s="78"/>
    </row>
    <row r="873" spans="1:26" ht="12.75" customHeight="1" x14ac:dyDescent="0.2">
      <c r="A873" s="78"/>
      <c r="B873" s="78"/>
      <c r="C873" s="78"/>
      <c r="D873" s="78"/>
      <c r="E873" s="78"/>
      <c r="F873" s="78"/>
      <c r="G873" s="78"/>
      <c r="H873" s="78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  <c r="Y873" s="78"/>
      <c r="Z873" s="78"/>
    </row>
    <row r="874" spans="1:26" ht="12.75" customHeight="1" x14ac:dyDescent="0.2">
      <c r="A874" s="78"/>
      <c r="B874" s="78"/>
      <c r="C874" s="78"/>
      <c r="D874" s="78"/>
      <c r="E874" s="78"/>
      <c r="F874" s="78"/>
      <c r="G874" s="78"/>
      <c r="H874" s="78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  <c r="Y874" s="78"/>
      <c r="Z874" s="78"/>
    </row>
    <row r="875" spans="1:26" ht="12.75" customHeight="1" x14ac:dyDescent="0.2">
      <c r="A875" s="78"/>
      <c r="B875" s="78"/>
      <c r="C875" s="78"/>
      <c r="D875" s="78"/>
      <c r="E875" s="78"/>
      <c r="F875" s="78"/>
      <c r="G875" s="78"/>
      <c r="H875" s="78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  <c r="Y875" s="78"/>
      <c r="Z875" s="78"/>
    </row>
    <row r="876" spans="1:26" ht="12.75" customHeight="1" x14ac:dyDescent="0.2">
      <c r="A876" s="78"/>
      <c r="B876" s="78"/>
      <c r="C876" s="78"/>
      <c r="D876" s="78"/>
      <c r="E876" s="78"/>
      <c r="F876" s="78"/>
      <c r="G876" s="78"/>
      <c r="H876" s="78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  <c r="Y876" s="78"/>
      <c r="Z876" s="78"/>
    </row>
    <row r="877" spans="1:26" ht="12.75" customHeight="1" x14ac:dyDescent="0.2">
      <c r="A877" s="78"/>
      <c r="B877" s="78"/>
      <c r="C877" s="78"/>
      <c r="D877" s="78"/>
      <c r="E877" s="78"/>
      <c r="F877" s="78"/>
      <c r="G877" s="78"/>
      <c r="H877" s="78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  <c r="Y877" s="78"/>
      <c r="Z877" s="78"/>
    </row>
    <row r="878" spans="1:26" ht="12.75" customHeight="1" x14ac:dyDescent="0.2">
      <c r="A878" s="78"/>
      <c r="B878" s="78"/>
      <c r="C878" s="78"/>
      <c r="D878" s="78"/>
      <c r="E878" s="78"/>
      <c r="F878" s="78"/>
      <c r="G878" s="78"/>
      <c r="H878" s="78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  <c r="Y878" s="78"/>
      <c r="Z878" s="78"/>
    </row>
    <row r="879" spans="1:26" ht="12.75" customHeight="1" x14ac:dyDescent="0.2">
      <c r="A879" s="78"/>
      <c r="B879" s="78"/>
      <c r="C879" s="78"/>
      <c r="D879" s="78"/>
      <c r="E879" s="78"/>
      <c r="F879" s="78"/>
      <c r="G879" s="78"/>
      <c r="H879" s="78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  <c r="Y879" s="78"/>
      <c r="Z879" s="78"/>
    </row>
    <row r="880" spans="1:26" ht="12.75" customHeight="1" x14ac:dyDescent="0.2">
      <c r="A880" s="78"/>
      <c r="B880" s="78"/>
      <c r="C880" s="78"/>
      <c r="D880" s="78"/>
      <c r="E880" s="78"/>
      <c r="F880" s="78"/>
      <c r="G880" s="78"/>
      <c r="H880" s="78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  <c r="Y880" s="78"/>
      <c r="Z880" s="78"/>
    </row>
    <row r="881" spans="1:26" ht="12.75" customHeight="1" x14ac:dyDescent="0.2">
      <c r="A881" s="78"/>
      <c r="B881" s="78"/>
      <c r="C881" s="78"/>
      <c r="D881" s="78"/>
      <c r="E881" s="78"/>
      <c r="F881" s="78"/>
      <c r="G881" s="78"/>
      <c r="H881" s="78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  <c r="Y881" s="78"/>
      <c r="Z881" s="78"/>
    </row>
    <row r="882" spans="1:26" ht="12.75" customHeight="1" x14ac:dyDescent="0.2">
      <c r="A882" s="78"/>
      <c r="B882" s="78"/>
      <c r="C882" s="78"/>
      <c r="D882" s="78"/>
      <c r="E882" s="78"/>
      <c r="F882" s="78"/>
      <c r="G882" s="78"/>
      <c r="H882" s="78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  <c r="Y882" s="78"/>
      <c r="Z882" s="78"/>
    </row>
    <row r="883" spans="1:26" ht="12.75" customHeight="1" x14ac:dyDescent="0.2">
      <c r="A883" s="78"/>
      <c r="B883" s="78"/>
      <c r="C883" s="78"/>
      <c r="D883" s="78"/>
      <c r="E883" s="78"/>
      <c r="F883" s="78"/>
      <c r="G883" s="78"/>
      <c r="H883" s="78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  <c r="Z883" s="78"/>
    </row>
    <row r="884" spans="1:26" ht="12.75" customHeight="1" x14ac:dyDescent="0.2">
      <c r="A884" s="78"/>
      <c r="B884" s="78"/>
      <c r="C884" s="78"/>
      <c r="D884" s="78"/>
      <c r="E884" s="78"/>
      <c r="F884" s="78"/>
      <c r="G884" s="78"/>
      <c r="H884" s="78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  <c r="Y884" s="78"/>
      <c r="Z884" s="78"/>
    </row>
    <row r="885" spans="1:26" ht="12.75" customHeight="1" x14ac:dyDescent="0.2">
      <c r="A885" s="78"/>
      <c r="B885" s="78"/>
      <c r="C885" s="78"/>
      <c r="D885" s="78"/>
      <c r="E885" s="78"/>
      <c r="F885" s="78"/>
      <c r="G885" s="78"/>
      <c r="H885" s="78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  <c r="Y885" s="78"/>
      <c r="Z885" s="78"/>
    </row>
    <row r="886" spans="1:26" ht="12.75" customHeight="1" x14ac:dyDescent="0.2">
      <c r="A886" s="78"/>
      <c r="B886" s="78"/>
      <c r="C886" s="78"/>
      <c r="D886" s="78"/>
      <c r="E886" s="78"/>
      <c r="F886" s="78"/>
      <c r="G886" s="78"/>
      <c r="H886" s="78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  <c r="Y886" s="78"/>
      <c r="Z886" s="78"/>
    </row>
    <row r="887" spans="1:26" ht="12.75" customHeight="1" x14ac:dyDescent="0.2">
      <c r="A887" s="78"/>
      <c r="B887" s="78"/>
      <c r="C887" s="78"/>
      <c r="D887" s="78"/>
      <c r="E887" s="78"/>
      <c r="F887" s="78"/>
      <c r="G887" s="78"/>
      <c r="H887" s="78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  <c r="Y887" s="78"/>
      <c r="Z887" s="78"/>
    </row>
    <row r="888" spans="1:26" ht="12.75" customHeight="1" x14ac:dyDescent="0.2">
      <c r="A888" s="78"/>
      <c r="B888" s="78"/>
      <c r="C888" s="78"/>
      <c r="D888" s="78"/>
      <c r="E888" s="78"/>
      <c r="F888" s="78"/>
      <c r="G888" s="78"/>
      <c r="H888" s="78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  <c r="Y888" s="78"/>
      <c r="Z888" s="78"/>
    </row>
    <row r="889" spans="1:26" ht="12.75" customHeight="1" x14ac:dyDescent="0.2">
      <c r="A889" s="78"/>
      <c r="B889" s="78"/>
      <c r="C889" s="78"/>
      <c r="D889" s="78"/>
      <c r="E889" s="78"/>
      <c r="F889" s="78"/>
      <c r="G889" s="78"/>
      <c r="H889" s="78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  <c r="Y889" s="78"/>
      <c r="Z889" s="78"/>
    </row>
    <row r="890" spans="1:26" ht="12.75" customHeight="1" x14ac:dyDescent="0.2">
      <c r="A890" s="78"/>
      <c r="B890" s="78"/>
      <c r="C890" s="78"/>
      <c r="D890" s="78"/>
      <c r="E890" s="78"/>
      <c r="F890" s="78"/>
      <c r="G890" s="78"/>
      <c r="H890" s="78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  <c r="Y890" s="78"/>
      <c r="Z890" s="78"/>
    </row>
    <row r="891" spans="1:26" ht="12.75" customHeight="1" x14ac:dyDescent="0.2">
      <c r="A891" s="78"/>
      <c r="B891" s="78"/>
      <c r="C891" s="78"/>
      <c r="D891" s="78"/>
      <c r="E891" s="78"/>
      <c r="F891" s="78"/>
      <c r="G891" s="78"/>
      <c r="H891" s="78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  <c r="Y891" s="78"/>
      <c r="Z891" s="78"/>
    </row>
    <row r="892" spans="1:26" ht="12.75" customHeight="1" x14ac:dyDescent="0.2">
      <c r="A892" s="78"/>
      <c r="B892" s="78"/>
      <c r="C892" s="78"/>
      <c r="D892" s="78"/>
      <c r="E892" s="78"/>
      <c r="F892" s="78"/>
      <c r="G892" s="78"/>
      <c r="H892" s="78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  <c r="Y892" s="78"/>
      <c r="Z892" s="78"/>
    </row>
    <row r="893" spans="1:26" ht="12.75" customHeight="1" x14ac:dyDescent="0.2">
      <c r="A893" s="78"/>
      <c r="B893" s="78"/>
      <c r="C893" s="78"/>
      <c r="D893" s="78"/>
      <c r="E893" s="78"/>
      <c r="F893" s="78"/>
      <c r="G893" s="78"/>
      <c r="H893" s="78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  <c r="Y893" s="78"/>
      <c r="Z893" s="78"/>
    </row>
    <row r="894" spans="1:26" ht="12.75" customHeight="1" x14ac:dyDescent="0.2">
      <c r="A894" s="78"/>
      <c r="B894" s="78"/>
      <c r="C894" s="78"/>
      <c r="D894" s="78"/>
      <c r="E894" s="78"/>
      <c r="F894" s="78"/>
      <c r="G894" s="78"/>
      <c r="H894" s="78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  <c r="Y894" s="78"/>
      <c r="Z894" s="78"/>
    </row>
    <row r="895" spans="1:26" ht="12.75" customHeight="1" x14ac:dyDescent="0.2">
      <c r="A895" s="78"/>
      <c r="B895" s="78"/>
      <c r="C895" s="78"/>
      <c r="D895" s="78"/>
      <c r="E895" s="78"/>
      <c r="F895" s="78"/>
      <c r="G895" s="78"/>
      <c r="H895" s="78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  <c r="Y895" s="78"/>
      <c r="Z895" s="78"/>
    </row>
    <row r="896" spans="1:26" ht="12.75" customHeight="1" x14ac:dyDescent="0.2">
      <c r="A896" s="78"/>
      <c r="B896" s="78"/>
      <c r="C896" s="78"/>
      <c r="D896" s="78"/>
      <c r="E896" s="78"/>
      <c r="F896" s="78"/>
      <c r="G896" s="78"/>
      <c r="H896" s="78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  <c r="Y896" s="78"/>
      <c r="Z896" s="78"/>
    </row>
    <row r="897" spans="1:26" ht="12.75" customHeight="1" x14ac:dyDescent="0.2">
      <c r="A897" s="78"/>
      <c r="B897" s="78"/>
      <c r="C897" s="78"/>
      <c r="D897" s="78"/>
      <c r="E897" s="78"/>
      <c r="F897" s="78"/>
      <c r="G897" s="78"/>
      <c r="H897" s="78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  <c r="Y897" s="78"/>
      <c r="Z897" s="78"/>
    </row>
    <row r="898" spans="1:26" ht="12.75" customHeight="1" x14ac:dyDescent="0.2">
      <c r="A898" s="78"/>
      <c r="B898" s="78"/>
      <c r="C898" s="78"/>
      <c r="D898" s="78"/>
      <c r="E898" s="78"/>
      <c r="F898" s="78"/>
      <c r="G898" s="78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  <c r="Y898" s="78"/>
      <c r="Z898" s="78"/>
    </row>
    <row r="899" spans="1:26" ht="12.75" customHeight="1" x14ac:dyDescent="0.2">
      <c r="A899" s="78"/>
      <c r="B899" s="78"/>
      <c r="C899" s="78"/>
      <c r="D899" s="78"/>
      <c r="E899" s="78"/>
      <c r="F899" s="78"/>
      <c r="G899" s="78"/>
      <c r="H899" s="78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  <c r="Y899" s="78"/>
      <c r="Z899" s="78"/>
    </row>
    <row r="900" spans="1:26" ht="12.75" customHeight="1" x14ac:dyDescent="0.2">
      <c r="A900" s="78"/>
      <c r="B900" s="78"/>
      <c r="C900" s="78"/>
      <c r="D900" s="78"/>
      <c r="E900" s="78"/>
      <c r="F900" s="78"/>
      <c r="G900" s="78"/>
      <c r="H900" s="78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  <c r="Y900" s="78"/>
      <c r="Z900" s="78"/>
    </row>
    <row r="901" spans="1:26" ht="12.75" customHeight="1" x14ac:dyDescent="0.2">
      <c r="A901" s="78"/>
      <c r="B901" s="78"/>
      <c r="C901" s="78"/>
      <c r="D901" s="78"/>
      <c r="E901" s="78"/>
      <c r="F901" s="78"/>
      <c r="G901" s="78"/>
      <c r="H901" s="78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  <c r="Y901" s="78"/>
      <c r="Z901" s="78"/>
    </row>
    <row r="902" spans="1:26" ht="12.75" customHeight="1" x14ac:dyDescent="0.2">
      <c r="A902" s="78"/>
      <c r="B902" s="78"/>
      <c r="C902" s="78"/>
      <c r="D902" s="78"/>
      <c r="E902" s="78"/>
      <c r="F902" s="78"/>
      <c r="G902" s="78"/>
      <c r="H902" s="78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  <c r="Y902" s="78"/>
      <c r="Z902" s="78"/>
    </row>
    <row r="903" spans="1:26" ht="12.75" customHeight="1" x14ac:dyDescent="0.2">
      <c r="A903" s="78"/>
      <c r="B903" s="78"/>
      <c r="C903" s="78"/>
      <c r="D903" s="78"/>
      <c r="E903" s="78"/>
      <c r="F903" s="78"/>
      <c r="G903" s="78"/>
      <c r="H903" s="78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  <c r="Y903" s="78"/>
      <c r="Z903" s="78"/>
    </row>
    <row r="904" spans="1:26" ht="12.75" customHeight="1" x14ac:dyDescent="0.2">
      <c r="A904" s="78"/>
      <c r="B904" s="78"/>
      <c r="C904" s="78"/>
      <c r="D904" s="78"/>
      <c r="E904" s="78"/>
      <c r="F904" s="78"/>
      <c r="G904" s="78"/>
      <c r="H904" s="78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  <c r="Y904" s="78"/>
      <c r="Z904" s="78"/>
    </row>
    <row r="905" spans="1:26" ht="12.75" customHeight="1" x14ac:dyDescent="0.2">
      <c r="A905" s="78"/>
      <c r="B905" s="78"/>
      <c r="C905" s="78"/>
      <c r="D905" s="78"/>
      <c r="E905" s="78"/>
      <c r="F905" s="78"/>
      <c r="G905" s="78"/>
      <c r="H905" s="78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  <c r="Y905" s="78"/>
      <c r="Z905" s="78"/>
    </row>
    <row r="906" spans="1:26" ht="12.75" customHeight="1" x14ac:dyDescent="0.2">
      <c r="A906" s="78"/>
      <c r="B906" s="78"/>
      <c r="C906" s="78"/>
      <c r="D906" s="78"/>
      <c r="E906" s="78"/>
      <c r="F906" s="78"/>
      <c r="G906" s="78"/>
      <c r="H906" s="78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8"/>
      <c r="Z906" s="78"/>
    </row>
    <row r="907" spans="1:26" ht="12.75" customHeight="1" x14ac:dyDescent="0.2">
      <c r="A907" s="78"/>
      <c r="B907" s="78"/>
      <c r="C907" s="78"/>
      <c r="D907" s="78"/>
      <c r="E907" s="78"/>
      <c r="F907" s="78"/>
      <c r="G907" s="78"/>
      <c r="H907" s="78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  <c r="Y907" s="78"/>
      <c r="Z907" s="78"/>
    </row>
    <row r="908" spans="1:26" ht="12.75" customHeight="1" x14ac:dyDescent="0.2">
      <c r="A908" s="78"/>
      <c r="B908" s="78"/>
      <c r="C908" s="78"/>
      <c r="D908" s="78"/>
      <c r="E908" s="78"/>
      <c r="F908" s="78"/>
      <c r="G908" s="78"/>
      <c r="H908" s="78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  <c r="Y908" s="78"/>
      <c r="Z908" s="78"/>
    </row>
    <row r="909" spans="1:26" ht="12.75" customHeight="1" x14ac:dyDescent="0.2">
      <c r="A909" s="78"/>
      <c r="B909" s="78"/>
      <c r="C909" s="78"/>
      <c r="D909" s="78"/>
      <c r="E909" s="78"/>
      <c r="F909" s="78"/>
      <c r="G909" s="78"/>
      <c r="H909" s="78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  <c r="Y909" s="78"/>
      <c r="Z909" s="78"/>
    </row>
    <row r="910" spans="1:26" ht="12.75" customHeight="1" x14ac:dyDescent="0.2">
      <c r="A910" s="78"/>
      <c r="B910" s="78"/>
      <c r="C910" s="78"/>
      <c r="D910" s="78"/>
      <c r="E910" s="78"/>
      <c r="F910" s="78"/>
      <c r="G910" s="78"/>
      <c r="H910" s="78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  <c r="Y910" s="78"/>
      <c r="Z910" s="78"/>
    </row>
    <row r="911" spans="1:26" ht="12.75" customHeight="1" x14ac:dyDescent="0.2">
      <c r="A911" s="78"/>
      <c r="B911" s="78"/>
      <c r="C911" s="78"/>
      <c r="D911" s="78"/>
      <c r="E911" s="78"/>
      <c r="F911" s="78"/>
      <c r="G911" s="78"/>
      <c r="H911" s="78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  <c r="Y911" s="78"/>
      <c r="Z911" s="78"/>
    </row>
    <row r="912" spans="1:26" ht="12.75" customHeight="1" x14ac:dyDescent="0.2">
      <c r="A912" s="78"/>
      <c r="B912" s="78"/>
      <c r="C912" s="78"/>
      <c r="D912" s="78"/>
      <c r="E912" s="78"/>
      <c r="F912" s="78"/>
      <c r="G912" s="78"/>
      <c r="H912" s="78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  <c r="Y912" s="78"/>
      <c r="Z912" s="78"/>
    </row>
    <row r="913" spans="1:26" ht="12.75" customHeight="1" x14ac:dyDescent="0.2">
      <c r="A913" s="78"/>
      <c r="B913" s="78"/>
      <c r="C913" s="78"/>
      <c r="D913" s="78"/>
      <c r="E913" s="78"/>
      <c r="F913" s="78"/>
      <c r="G913" s="78"/>
      <c r="H913" s="78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  <c r="Y913" s="78"/>
      <c r="Z913" s="78"/>
    </row>
    <row r="914" spans="1:26" ht="12.75" customHeight="1" x14ac:dyDescent="0.2">
      <c r="A914" s="78"/>
      <c r="B914" s="78"/>
      <c r="C914" s="78"/>
      <c r="D914" s="78"/>
      <c r="E914" s="78"/>
      <c r="F914" s="78"/>
      <c r="G914" s="78"/>
      <c r="H914" s="78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  <c r="X914" s="78"/>
      <c r="Y914" s="78"/>
      <c r="Z914" s="78"/>
    </row>
    <row r="915" spans="1:26" ht="12.75" customHeight="1" x14ac:dyDescent="0.2">
      <c r="A915" s="78"/>
      <c r="B915" s="78"/>
      <c r="C915" s="78"/>
      <c r="D915" s="78"/>
      <c r="E915" s="78"/>
      <c r="F915" s="78"/>
      <c r="G915" s="78"/>
      <c r="H915" s="78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  <c r="Y915" s="78"/>
      <c r="Z915" s="78"/>
    </row>
    <row r="916" spans="1:26" ht="12.75" customHeight="1" x14ac:dyDescent="0.2">
      <c r="A916" s="78"/>
      <c r="B916" s="78"/>
      <c r="C916" s="78"/>
      <c r="D916" s="78"/>
      <c r="E916" s="78"/>
      <c r="F916" s="78"/>
      <c r="G916" s="78"/>
      <c r="H916" s="78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  <c r="Y916" s="78"/>
      <c r="Z916" s="78"/>
    </row>
    <row r="917" spans="1:26" ht="12.75" customHeight="1" x14ac:dyDescent="0.2">
      <c r="A917" s="78"/>
      <c r="B917" s="78"/>
      <c r="C917" s="78"/>
      <c r="D917" s="78"/>
      <c r="E917" s="78"/>
      <c r="F917" s="78"/>
      <c r="G917" s="78"/>
      <c r="H917" s="78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8"/>
      <c r="Z917" s="78"/>
    </row>
    <row r="918" spans="1:26" ht="12.75" customHeight="1" x14ac:dyDescent="0.2">
      <c r="A918" s="78"/>
      <c r="B918" s="78"/>
      <c r="C918" s="78"/>
      <c r="D918" s="78"/>
      <c r="E918" s="78"/>
      <c r="F918" s="78"/>
      <c r="G918" s="78"/>
      <c r="H918" s="78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  <c r="Y918" s="78"/>
      <c r="Z918" s="78"/>
    </row>
    <row r="919" spans="1:26" ht="12.75" customHeight="1" x14ac:dyDescent="0.2">
      <c r="A919" s="78"/>
      <c r="B919" s="78"/>
      <c r="C919" s="78"/>
      <c r="D919" s="78"/>
      <c r="E919" s="78"/>
      <c r="F919" s="78"/>
      <c r="G919" s="78"/>
      <c r="H919" s="78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  <c r="Y919" s="78"/>
      <c r="Z919" s="78"/>
    </row>
    <row r="920" spans="1:26" ht="12.75" customHeight="1" x14ac:dyDescent="0.2">
      <c r="A920" s="78"/>
      <c r="B920" s="78"/>
      <c r="C920" s="78"/>
      <c r="D920" s="78"/>
      <c r="E920" s="78"/>
      <c r="F920" s="78"/>
      <c r="G920" s="78"/>
      <c r="H920" s="78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  <c r="Y920" s="78"/>
      <c r="Z920" s="78"/>
    </row>
    <row r="921" spans="1:26" ht="12.75" customHeight="1" x14ac:dyDescent="0.2">
      <c r="A921" s="78"/>
      <c r="B921" s="78"/>
      <c r="C921" s="78"/>
      <c r="D921" s="78"/>
      <c r="E921" s="78"/>
      <c r="F921" s="78"/>
      <c r="G921" s="78"/>
      <c r="H921" s="78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  <c r="Y921" s="78"/>
      <c r="Z921" s="78"/>
    </row>
    <row r="922" spans="1:26" ht="12.75" customHeight="1" x14ac:dyDescent="0.2">
      <c r="A922" s="78"/>
      <c r="B922" s="78"/>
      <c r="C922" s="78"/>
      <c r="D922" s="78"/>
      <c r="E922" s="78"/>
      <c r="F922" s="78"/>
      <c r="G922" s="78"/>
      <c r="H922" s="78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8"/>
      <c r="Z922" s="78"/>
    </row>
    <row r="923" spans="1:26" ht="12.75" customHeight="1" x14ac:dyDescent="0.2">
      <c r="A923" s="78"/>
      <c r="B923" s="78"/>
      <c r="C923" s="78"/>
      <c r="D923" s="78"/>
      <c r="E923" s="78"/>
      <c r="F923" s="78"/>
      <c r="G923" s="78"/>
      <c r="H923" s="78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  <c r="Z923" s="78"/>
    </row>
    <row r="924" spans="1:26" ht="12.75" customHeight="1" x14ac:dyDescent="0.2">
      <c r="A924" s="78"/>
      <c r="B924" s="78"/>
      <c r="C924" s="78"/>
      <c r="D924" s="78"/>
      <c r="E924" s="78"/>
      <c r="F924" s="78"/>
      <c r="G924" s="78"/>
      <c r="H924" s="78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  <c r="Y924" s="78"/>
      <c r="Z924" s="78"/>
    </row>
    <row r="925" spans="1:26" ht="12.75" customHeight="1" x14ac:dyDescent="0.2">
      <c r="A925" s="78"/>
      <c r="B925" s="78"/>
      <c r="C925" s="78"/>
      <c r="D925" s="78"/>
      <c r="E925" s="78"/>
      <c r="F925" s="78"/>
      <c r="G925" s="78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  <c r="Z925" s="78"/>
    </row>
    <row r="926" spans="1:26" ht="12.75" customHeight="1" x14ac:dyDescent="0.2">
      <c r="A926" s="78"/>
      <c r="B926" s="78"/>
      <c r="C926" s="78"/>
      <c r="D926" s="78"/>
      <c r="E926" s="78"/>
      <c r="F926" s="78"/>
      <c r="G926" s="78"/>
      <c r="H926" s="78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8"/>
      <c r="Z926" s="78"/>
    </row>
    <row r="927" spans="1:26" ht="12.75" customHeight="1" x14ac:dyDescent="0.2">
      <c r="A927" s="78"/>
      <c r="B927" s="78"/>
      <c r="C927" s="78"/>
      <c r="D927" s="78"/>
      <c r="E927" s="78"/>
      <c r="F927" s="78"/>
      <c r="G927" s="78"/>
      <c r="H927" s="78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  <c r="Y927" s="78"/>
      <c r="Z927" s="78"/>
    </row>
    <row r="928" spans="1:26" ht="12.75" customHeight="1" x14ac:dyDescent="0.2">
      <c r="A928" s="78"/>
      <c r="B928" s="78"/>
      <c r="C928" s="78"/>
      <c r="D928" s="78"/>
      <c r="E928" s="78"/>
      <c r="F928" s="78"/>
      <c r="G928" s="78"/>
      <c r="H928" s="78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  <c r="Y928" s="78"/>
      <c r="Z928" s="78"/>
    </row>
    <row r="929" spans="1:26" ht="12.75" customHeight="1" x14ac:dyDescent="0.2">
      <c r="A929" s="78"/>
      <c r="B929" s="78"/>
      <c r="C929" s="78"/>
      <c r="D929" s="78"/>
      <c r="E929" s="78"/>
      <c r="F929" s="78"/>
      <c r="G929" s="78"/>
      <c r="H929" s="78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  <c r="Y929" s="78"/>
      <c r="Z929" s="78"/>
    </row>
    <row r="930" spans="1:26" ht="12.75" customHeight="1" x14ac:dyDescent="0.2">
      <c r="A930" s="78"/>
      <c r="B930" s="78"/>
      <c r="C930" s="78"/>
      <c r="D930" s="78"/>
      <c r="E930" s="78"/>
      <c r="F930" s="78"/>
      <c r="G930" s="78"/>
      <c r="H930" s="78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  <c r="Y930" s="78"/>
      <c r="Z930" s="78"/>
    </row>
    <row r="931" spans="1:26" ht="12.75" customHeight="1" x14ac:dyDescent="0.2">
      <c r="A931" s="78"/>
      <c r="B931" s="78"/>
      <c r="C931" s="78"/>
      <c r="D931" s="78"/>
      <c r="E931" s="78"/>
      <c r="F931" s="78"/>
      <c r="G931" s="78"/>
      <c r="H931" s="78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  <c r="Y931" s="78"/>
      <c r="Z931" s="78"/>
    </row>
    <row r="932" spans="1:26" ht="12.75" customHeight="1" x14ac:dyDescent="0.2">
      <c r="A932" s="78"/>
      <c r="B932" s="78"/>
      <c r="C932" s="78"/>
      <c r="D932" s="78"/>
      <c r="E932" s="78"/>
      <c r="F932" s="78"/>
      <c r="G932" s="78"/>
      <c r="H932" s="78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  <c r="Y932" s="78"/>
      <c r="Z932" s="78"/>
    </row>
    <row r="933" spans="1:26" ht="12.75" customHeight="1" x14ac:dyDescent="0.2">
      <c r="A933" s="78"/>
      <c r="B933" s="78"/>
      <c r="C933" s="78"/>
      <c r="D933" s="78"/>
      <c r="E933" s="78"/>
      <c r="F933" s="78"/>
      <c r="G933" s="78"/>
      <c r="H933" s="78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  <c r="Y933" s="78"/>
      <c r="Z933" s="78"/>
    </row>
    <row r="934" spans="1:26" ht="12.75" customHeight="1" x14ac:dyDescent="0.2">
      <c r="A934" s="78"/>
      <c r="B934" s="78"/>
      <c r="C934" s="78"/>
      <c r="D934" s="78"/>
      <c r="E934" s="78"/>
      <c r="F934" s="78"/>
      <c r="G934" s="78"/>
      <c r="H934" s="78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  <c r="Y934" s="78"/>
      <c r="Z934" s="78"/>
    </row>
    <row r="935" spans="1:26" ht="12.75" customHeight="1" x14ac:dyDescent="0.2">
      <c r="A935" s="78"/>
      <c r="B935" s="78"/>
      <c r="C935" s="78"/>
      <c r="D935" s="78"/>
      <c r="E935" s="78"/>
      <c r="F935" s="78"/>
      <c r="G935" s="78"/>
      <c r="H935" s="78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  <c r="Y935" s="78"/>
      <c r="Z935" s="78"/>
    </row>
    <row r="936" spans="1:26" ht="12.75" customHeight="1" x14ac:dyDescent="0.2">
      <c r="A936" s="78"/>
      <c r="B936" s="78"/>
      <c r="C936" s="78"/>
      <c r="D936" s="78"/>
      <c r="E936" s="78"/>
      <c r="F936" s="78"/>
      <c r="G936" s="78"/>
      <c r="H936" s="78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  <c r="Y936" s="78"/>
      <c r="Z936" s="78"/>
    </row>
    <row r="937" spans="1:26" ht="12.75" customHeight="1" x14ac:dyDescent="0.2">
      <c r="A937" s="78"/>
      <c r="B937" s="78"/>
      <c r="C937" s="78"/>
      <c r="D937" s="78"/>
      <c r="E937" s="78"/>
      <c r="F937" s="78"/>
      <c r="G937" s="78"/>
      <c r="H937" s="78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  <c r="Y937" s="78"/>
      <c r="Z937" s="78"/>
    </row>
    <row r="938" spans="1:26" ht="12.75" customHeight="1" x14ac:dyDescent="0.2">
      <c r="A938" s="78"/>
      <c r="B938" s="78"/>
      <c r="C938" s="78"/>
      <c r="D938" s="78"/>
      <c r="E938" s="78"/>
      <c r="F938" s="78"/>
      <c r="G938" s="78"/>
      <c r="H938" s="78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  <c r="Y938" s="78"/>
      <c r="Z938" s="78"/>
    </row>
    <row r="939" spans="1:26" ht="12.75" customHeight="1" x14ac:dyDescent="0.2">
      <c r="A939" s="78"/>
      <c r="B939" s="78"/>
      <c r="C939" s="78"/>
      <c r="D939" s="78"/>
      <c r="E939" s="78"/>
      <c r="F939" s="78"/>
      <c r="G939" s="78"/>
      <c r="H939" s="78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  <c r="Y939" s="78"/>
      <c r="Z939" s="78"/>
    </row>
    <row r="940" spans="1:26" ht="12.75" customHeight="1" x14ac:dyDescent="0.2">
      <c r="A940" s="78"/>
      <c r="B940" s="78"/>
      <c r="C940" s="78"/>
      <c r="D940" s="78"/>
      <c r="E940" s="78"/>
      <c r="F940" s="78"/>
      <c r="G940" s="78"/>
      <c r="H940" s="78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  <c r="Y940" s="78"/>
      <c r="Z940" s="78"/>
    </row>
    <row r="941" spans="1:26" ht="12.75" customHeight="1" x14ac:dyDescent="0.2">
      <c r="A941" s="78"/>
      <c r="B941" s="78"/>
      <c r="C941" s="78"/>
      <c r="D941" s="78"/>
      <c r="E941" s="78"/>
      <c r="F941" s="78"/>
      <c r="G941" s="78"/>
      <c r="H941" s="78"/>
      <c r="I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  <c r="W941" s="78"/>
      <c r="X941" s="78"/>
      <c r="Y941" s="78"/>
      <c r="Z941" s="78"/>
    </row>
    <row r="942" spans="1:26" ht="12.75" customHeight="1" x14ac:dyDescent="0.2">
      <c r="A942" s="78"/>
      <c r="B942" s="78"/>
      <c r="C942" s="78"/>
      <c r="D942" s="78"/>
      <c r="E942" s="78"/>
      <c r="F942" s="78"/>
      <c r="G942" s="78"/>
      <c r="H942" s="78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  <c r="Y942" s="78"/>
      <c r="Z942" s="78"/>
    </row>
    <row r="943" spans="1:26" ht="12.75" customHeight="1" x14ac:dyDescent="0.2">
      <c r="A943" s="78"/>
      <c r="B943" s="78"/>
      <c r="C943" s="78"/>
      <c r="D943" s="78"/>
      <c r="E943" s="78"/>
      <c r="F943" s="78"/>
      <c r="G943" s="78"/>
      <c r="H943" s="78"/>
      <c r="I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  <c r="W943" s="78"/>
      <c r="X943" s="78"/>
      <c r="Y943" s="78"/>
      <c r="Z943" s="78"/>
    </row>
    <row r="944" spans="1:26" ht="12.75" customHeight="1" x14ac:dyDescent="0.2">
      <c r="A944" s="78"/>
      <c r="B944" s="78"/>
      <c r="C944" s="78"/>
      <c r="D944" s="78"/>
      <c r="E944" s="78"/>
      <c r="F944" s="78"/>
      <c r="G944" s="78"/>
      <c r="H944" s="78"/>
      <c r="I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  <c r="W944" s="78"/>
      <c r="X944" s="78"/>
      <c r="Y944" s="78"/>
      <c r="Z944" s="78"/>
    </row>
    <row r="945" spans="1:26" ht="12.75" customHeight="1" x14ac:dyDescent="0.2">
      <c r="A945" s="78"/>
      <c r="B945" s="78"/>
      <c r="C945" s="78"/>
      <c r="D945" s="78"/>
      <c r="E945" s="78"/>
      <c r="F945" s="78"/>
      <c r="G945" s="78"/>
      <c r="H945" s="78"/>
      <c r="I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  <c r="W945" s="78"/>
      <c r="X945" s="78"/>
      <c r="Y945" s="78"/>
      <c r="Z945" s="78"/>
    </row>
    <row r="946" spans="1:26" ht="12.75" customHeight="1" x14ac:dyDescent="0.2">
      <c r="A946" s="78"/>
      <c r="B946" s="78"/>
      <c r="C946" s="78"/>
      <c r="D946" s="78"/>
      <c r="E946" s="78"/>
      <c r="F946" s="78"/>
      <c r="G946" s="78"/>
      <c r="H946" s="78"/>
      <c r="I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  <c r="W946" s="78"/>
      <c r="X946" s="78"/>
      <c r="Y946" s="78"/>
      <c r="Z946" s="78"/>
    </row>
    <row r="947" spans="1:26" ht="12.75" customHeight="1" x14ac:dyDescent="0.2">
      <c r="A947" s="78"/>
      <c r="B947" s="78"/>
      <c r="C947" s="78"/>
      <c r="D947" s="78"/>
      <c r="E947" s="78"/>
      <c r="F947" s="78"/>
      <c r="G947" s="78"/>
      <c r="H947" s="78"/>
      <c r="I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  <c r="W947" s="78"/>
      <c r="X947" s="78"/>
      <c r="Y947" s="78"/>
      <c r="Z947" s="78"/>
    </row>
    <row r="948" spans="1:26" ht="12.75" customHeight="1" x14ac:dyDescent="0.2">
      <c r="A948" s="78"/>
      <c r="B948" s="78"/>
      <c r="C948" s="78"/>
      <c r="D948" s="78"/>
      <c r="E948" s="78"/>
      <c r="F948" s="78"/>
      <c r="G948" s="78"/>
      <c r="H948" s="78"/>
      <c r="I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  <c r="W948" s="78"/>
      <c r="X948" s="78"/>
      <c r="Y948" s="78"/>
      <c r="Z948" s="78"/>
    </row>
    <row r="949" spans="1:26" ht="12.75" customHeight="1" x14ac:dyDescent="0.2">
      <c r="A949" s="78"/>
      <c r="B949" s="78"/>
      <c r="C949" s="78"/>
      <c r="D949" s="78"/>
      <c r="E949" s="78"/>
      <c r="F949" s="78"/>
      <c r="G949" s="78"/>
      <c r="H949" s="78"/>
      <c r="I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  <c r="W949" s="78"/>
      <c r="X949" s="78"/>
      <c r="Y949" s="78"/>
      <c r="Z949" s="78"/>
    </row>
    <row r="950" spans="1:26" ht="12.75" customHeight="1" x14ac:dyDescent="0.2">
      <c r="A950" s="78"/>
      <c r="B950" s="78"/>
      <c r="C950" s="78"/>
      <c r="D950" s="78"/>
      <c r="E950" s="78"/>
      <c r="F950" s="78"/>
      <c r="G950" s="78"/>
      <c r="H950" s="78"/>
      <c r="I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  <c r="Y950" s="78"/>
      <c r="Z950" s="78"/>
    </row>
    <row r="951" spans="1:26" ht="12.75" customHeight="1" x14ac:dyDescent="0.2">
      <c r="A951" s="78"/>
      <c r="B951" s="78"/>
      <c r="C951" s="78"/>
      <c r="D951" s="78"/>
      <c r="E951" s="78"/>
      <c r="F951" s="78"/>
      <c r="G951" s="78"/>
      <c r="H951" s="78"/>
      <c r="I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  <c r="Y951" s="78"/>
      <c r="Z951" s="78"/>
    </row>
    <row r="952" spans="1:26" ht="12.75" customHeight="1" x14ac:dyDescent="0.2">
      <c r="A952" s="78"/>
      <c r="B952" s="78"/>
      <c r="C952" s="78"/>
      <c r="D952" s="78"/>
      <c r="E952" s="78"/>
      <c r="F952" s="78"/>
      <c r="G952" s="78"/>
      <c r="H952" s="78"/>
      <c r="I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  <c r="Y952" s="78"/>
      <c r="Z952" s="78"/>
    </row>
    <row r="953" spans="1:26" ht="12.75" customHeight="1" x14ac:dyDescent="0.2">
      <c r="A953" s="78"/>
      <c r="B953" s="78"/>
      <c r="C953" s="78"/>
      <c r="D953" s="78"/>
      <c r="E953" s="78"/>
      <c r="F953" s="78"/>
      <c r="G953" s="78"/>
      <c r="H953" s="78"/>
      <c r="I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8"/>
      <c r="Z953" s="78"/>
    </row>
    <row r="954" spans="1:26" ht="12.75" customHeight="1" x14ac:dyDescent="0.2">
      <c r="A954" s="78"/>
      <c r="B954" s="78"/>
      <c r="C954" s="78"/>
      <c r="D954" s="78"/>
      <c r="E954" s="78"/>
      <c r="F954" s="78"/>
      <c r="G954" s="78"/>
      <c r="H954" s="78"/>
      <c r="I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  <c r="Y954" s="78"/>
      <c r="Z954" s="78"/>
    </row>
    <row r="955" spans="1:26" ht="12.75" customHeight="1" x14ac:dyDescent="0.2">
      <c r="A955" s="78"/>
      <c r="B955" s="78"/>
      <c r="C955" s="78"/>
      <c r="D955" s="78"/>
      <c r="E955" s="78"/>
      <c r="F955" s="78"/>
      <c r="G955" s="78"/>
      <c r="H955" s="78"/>
      <c r="I955" s="78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8"/>
      <c r="Z955" s="78"/>
    </row>
    <row r="956" spans="1:26" ht="12.75" customHeight="1" x14ac:dyDescent="0.2">
      <c r="A956" s="78"/>
      <c r="B956" s="78"/>
      <c r="C956" s="78"/>
      <c r="D956" s="78"/>
      <c r="E956" s="78"/>
      <c r="F956" s="78"/>
      <c r="G956" s="78"/>
      <c r="H956" s="78"/>
      <c r="I956" s="78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8"/>
      <c r="X956" s="78"/>
      <c r="Y956" s="78"/>
      <c r="Z956" s="78"/>
    </row>
    <row r="957" spans="1:26" ht="12.75" customHeight="1" x14ac:dyDescent="0.2">
      <c r="A957" s="78"/>
      <c r="B957" s="78"/>
      <c r="C957" s="78"/>
      <c r="D957" s="78"/>
      <c r="E957" s="78"/>
      <c r="F957" s="78"/>
      <c r="G957" s="78"/>
      <c r="H957" s="78"/>
      <c r="I957" s="78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  <c r="W957" s="78"/>
      <c r="X957" s="78"/>
      <c r="Y957" s="78"/>
      <c r="Z957" s="78"/>
    </row>
    <row r="958" spans="1:26" ht="12.75" customHeight="1" x14ac:dyDescent="0.2">
      <c r="A958" s="78"/>
      <c r="B958" s="78"/>
      <c r="C958" s="78"/>
      <c r="D958" s="78"/>
      <c r="E958" s="78"/>
      <c r="F958" s="78"/>
      <c r="G958" s="78"/>
      <c r="H958" s="78"/>
      <c r="I958" s="78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  <c r="W958" s="78"/>
      <c r="X958" s="78"/>
      <c r="Y958" s="78"/>
      <c r="Z958" s="78"/>
    </row>
    <row r="959" spans="1:26" ht="12.75" customHeight="1" x14ac:dyDescent="0.2">
      <c r="A959" s="78"/>
      <c r="B959" s="78"/>
      <c r="C959" s="78"/>
      <c r="D959" s="78"/>
      <c r="E959" s="78"/>
      <c r="F959" s="78"/>
      <c r="G959" s="78"/>
      <c r="H959" s="78"/>
      <c r="I959" s="78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  <c r="W959" s="78"/>
      <c r="X959" s="78"/>
      <c r="Y959" s="78"/>
      <c r="Z959" s="78"/>
    </row>
    <row r="960" spans="1:26" ht="12.75" customHeight="1" x14ac:dyDescent="0.2">
      <c r="A960" s="78"/>
      <c r="B960" s="78"/>
      <c r="C960" s="78"/>
      <c r="D960" s="78"/>
      <c r="E960" s="78"/>
      <c r="F960" s="78"/>
      <c r="G960" s="78"/>
      <c r="H960" s="78"/>
      <c r="I960" s="78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/>
      <c r="W960" s="78"/>
      <c r="X960" s="78"/>
      <c r="Y960" s="78"/>
      <c r="Z960" s="78"/>
    </row>
    <row r="961" spans="1:26" ht="12.75" customHeight="1" x14ac:dyDescent="0.2">
      <c r="A961" s="78"/>
      <c r="B961" s="78"/>
      <c r="C961" s="78"/>
      <c r="D961" s="78"/>
      <c r="E961" s="78"/>
      <c r="F961" s="78"/>
      <c r="G961" s="78"/>
      <c r="H961" s="78"/>
      <c r="I961" s="78"/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8"/>
      <c r="W961" s="78"/>
      <c r="X961" s="78"/>
      <c r="Y961" s="78"/>
      <c r="Z961" s="78"/>
    </row>
    <row r="962" spans="1:26" ht="12.75" customHeight="1" x14ac:dyDescent="0.2">
      <c r="A962" s="78"/>
      <c r="B962" s="78"/>
      <c r="C962" s="78"/>
      <c r="D962" s="78"/>
      <c r="E962" s="78"/>
      <c r="F962" s="78"/>
      <c r="G962" s="78"/>
      <c r="H962" s="78"/>
      <c r="I962" s="78"/>
      <c r="J962" s="78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  <c r="V962" s="78"/>
      <c r="W962" s="78"/>
      <c r="X962" s="78"/>
      <c r="Y962" s="78"/>
      <c r="Z962" s="78"/>
    </row>
    <row r="963" spans="1:26" ht="12.75" customHeight="1" x14ac:dyDescent="0.2">
      <c r="A963" s="78"/>
      <c r="B963" s="78"/>
      <c r="C963" s="78"/>
      <c r="D963" s="78"/>
      <c r="E963" s="78"/>
      <c r="F963" s="78"/>
      <c r="G963" s="78"/>
      <c r="H963" s="78"/>
      <c r="I963" s="78"/>
      <c r="J963" s="78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  <c r="V963" s="78"/>
      <c r="W963" s="78"/>
      <c r="X963" s="78"/>
      <c r="Y963" s="78"/>
      <c r="Z963" s="78"/>
    </row>
    <row r="964" spans="1:26" ht="12.75" customHeight="1" x14ac:dyDescent="0.2">
      <c r="A964" s="78"/>
      <c r="B964" s="78"/>
      <c r="C964" s="78"/>
      <c r="D964" s="78"/>
      <c r="E964" s="78"/>
      <c r="F964" s="78"/>
      <c r="G964" s="78"/>
      <c r="H964" s="78"/>
      <c r="I964" s="78"/>
      <c r="J964" s="78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  <c r="V964" s="78"/>
      <c r="W964" s="78"/>
      <c r="X964" s="78"/>
      <c r="Y964" s="78"/>
      <c r="Z964" s="78"/>
    </row>
    <row r="965" spans="1:26" ht="12.75" customHeight="1" x14ac:dyDescent="0.2">
      <c r="A965" s="78"/>
      <c r="B965" s="78"/>
      <c r="C965" s="78"/>
      <c r="D965" s="78"/>
      <c r="E965" s="78"/>
      <c r="F965" s="78"/>
      <c r="G965" s="78"/>
      <c r="H965" s="78"/>
      <c r="I965" s="78"/>
      <c r="J965" s="78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  <c r="V965" s="78"/>
      <c r="W965" s="78"/>
      <c r="X965" s="78"/>
      <c r="Y965" s="78"/>
      <c r="Z965" s="78"/>
    </row>
    <row r="966" spans="1:26" ht="12.75" customHeight="1" x14ac:dyDescent="0.2">
      <c r="A966" s="78"/>
      <c r="B966" s="78"/>
      <c r="C966" s="78"/>
      <c r="D966" s="78"/>
      <c r="E966" s="78"/>
      <c r="F966" s="78"/>
      <c r="G966" s="78"/>
      <c r="H966" s="78"/>
      <c r="I966" s="78"/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  <c r="V966" s="78"/>
      <c r="W966" s="78"/>
      <c r="X966" s="78"/>
      <c r="Y966" s="78"/>
      <c r="Z966" s="78"/>
    </row>
    <row r="967" spans="1:26" ht="12.75" customHeight="1" x14ac:dyDescent="0.2">
      <c r="A967" s="78"/>
      <c r="B967" s="78"/>
      <c r="C967" s="78"/>
      <c r="D967" s="78"/>
      <c r="E967" s="78"/>
      <c r="F967" s="78"/>
      <c r="G967" s="78"/>
      <c r="H967" s="78"/>
      <c r="I967" s="78"/>
      <c r="J967" s="78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  <c r="V967" s="78"/>
      <c r="W967" s="78"/>
      <c r="X967" s="78"/>
      <c r="Y967" s="78"/>
      <c r="Z967" s="78"/>
    </row>
    <row r="968" spans="1:26" ht="12.75" customHeight="1" x14ac:dyDescent="0.2">
      <c r="A968" s="78"/>
      <c r="B968" s="78"/>
      <c r="C968" s="78"/>
      <c r="D968" s="78"/>
      <c r="E968" s="78"/>
      <c r="F968" s="78"/>
      <c r="G968" s="78"/>
      <c r="H968" s="78"/>
      <c r="I968" s="78"/>
      <c r="J968" s="78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  <c r="V968" s="78"/>
      <c r="W968" s="78"/>
      <c r="X968" s="78"/>
      <c r="Y968" s="78"/>
      <c r="Z968" s="78"/>
    </row>
    <row r="969" spans="1:26" ht="12.75" customHeight="1" x14ac:dyDescent="0.2">
      <c r="A969" s="78"/>
      <c r="B969" s="78"/>
      <c r="C969" s="78"/>
      <c r="D969" s="78"/>
      <c r="E969" s="78"/>
      <c r="F969" s="78"/>
      <c r="G969" s="78"/>
      <c r="H969" s="78"/>
      <c r="I969" s="78"/>
      <c r="J969" s="78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  <c r="V969" s="78"/>
      <c r="W969" s="78"/>
      <c r="X969" s="78"/>
      <c r="Y969" s="78"/>
      <c r="Z969" s="78"/>
    </row>
    <row r="970" spans="1:26" ht="12.75" customHeight="1" x14ac:dyDescent="0.2">
      <c r="A970" s="78"/>
      <c r="B970" s="78"/>
      <c r="C970" s="78"/>
      <c r="D970" s="78"/>
      <c r="E970" s="78"/>
      <c r="F970" s="78"/>
      <c r="G970" s="78"/>
      <c r="H970" s="78"/>
      <c r="I970" s="78"/>
      <c r="J970" s="78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  <c r="V970" s="78"/>
      <c r="W970" s="78"/>
      <c r="X970" s="78"/>
      <c r="Y970" s="78"/>
      <c r="Z970" s="78"/>
    </row>
    <row r="971" spans="1:26" ht="12.75" customHeight="1" x14ac:dyDescent="0.2">
      <c r="A971" s="78"/>
      <c r="B971" s="78"/>
      <c r="C971" s="78"/>
      <c r="D971" s="78"/>
      <c r="E971" s="78"/>
      <c r="F971" s="78"/>
      <c r="G971" s="78"/>
      <c r="H971" s="78"/>
      <c r="I971" s="78"/>
      <c r="J971" s="78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  <c r="V971" s="78"/>
      <c r="W971" s="78"/>
      <c r="X971" s="78"/>
      <c r="Y971" s="78"/>
      <c r="Z971" s="78"/>
    </row>
    <row r="972" spans="1:26" ht="12.75" customHeight="1" x14ac:dyDescent="0.2">
      <c r="A972" s="78"/>
      <c r="B972" s="78"/>
      <c r="C972" s="78"/>
      <c r="D972" s="78"/>
      <c r="E972" s="78"/>
      <c r="F972" s="78"/>
      <c r="G972" s="78"/>
      <c r="H972" s="78"/>
      <c r="I972" s="78"/>
      <c r="J972" s="78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  <c r="V972" s="78"/>
      <c r="W972" s="78"/>
      <c r="X972" s="78"/>
      <c r="Y972" s="78"/>
      <c r="Z972" s="78"/>
    </row>
    <row r="973" spans="1:26" ht="12.75" customHeight="1" x14ac:dyDescent="0.2">
      <c r="A973" s="78"/>
      <c r="B973" s="78"/>
      <c r="C973" s="78"/>
      <c r="D973" s="78"/>
      <c r="E973" s="78"/>
      <c r="F973" s="78"/>
      <c r="G973" s="78"/>
      <c r="H973" s="78"/>
      <c r="I973" s="78"/>
      <c r="J973" s="78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  <c r="V973" s="78"/>
      <c r="W973" s="78"/>
      <c r="X973" s="78"/>
      <c r="Y973" s="78"/>
      <c r="Z973" s="78"/>
    </row>
    <row r="974" spans="1:26" ht="12.75" customHeight="1" x14ac:dyDescent="0.2">
      <c r="A974" s="78"/>
      <c r="B974" s="78"/>
      <c r="C974" s="78"/>
      <c r="D974" s="78"/>
      <c r="E974" s="78"/>
      <c r="F974" s="78"/>
      <c r="G974" s="78"/>
      <c r="H974" s="78"/>
      <c r="I974" s="78"/>
      <c r="J974" s="78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  <c r="V974" s="78"/>
      <c r="W974" s="78"/>
      <c r="X974" s="78"/>
      <c r="Y974" s="78"/>
      <c r="Z974" s="78"/>
    </row>
    <row r="975" spans="1:26" ht="12.75" customHeight="1" x14ac:dyDescent="0.2">
      <c r="A975" s="78"/>
      <c r="B975" s="78"/>
      <c r="C975" s="78"/>
      <c r="D975" s="78"/>
      <c r="E975" s="78"/>
      <c r="F975" s="78"/>
      <c r="G975" s="78"/>
      <c r="H975" s="78"/>
      <c r="I975" s="78"/>
      <c r="J975" s="78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  <c r="V975" s="78"/>
      <c r="W975" s="78"/>
      <c r="X975" s="78"/>
      <c r="Y975" s="78"/>
      <c r="Z975" s="78"/>
    </row>
    <row r="976" spans="1:26" ht="12.75" customHeight="1" x14ac:dyDescent="0.2">
      <c r="A976" s="78"/>
      <c r="B976" s="78"/>
      <c r="C976" s="78"/>
      <c r="D976" s="78"/>
      <c r="E976" s="78"/>
      <c r="F976" s="78"/>
      <c r="G976" s="78"/>
      <c r="H976" s="78"/>
      <c r="I976" s="78"/>
      <c r="J976" s="78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  <c r="V976" s="78"/>
      <c r="W976" s="78"/>
      <c r="X976" s="78"/>
      <c r="Y976" s="78"/>
      <c r="Z976" s="78"/>
    </row>
    <row r="977" spans="1:26" ht="12.75" customHeight="1" x14ac:dyDescent="0.2">
      <c r="A977" s="78"/>
      <c r="B977" s="78"/>
      <c r="C977" s="78"/>
      <c r="D977" s="78"/>
      <c r="E977" s="78"/>
      <c r="F977" s="78"/>
      <c r="G977" s="78"/>
      <c r="H977" s="78"/>
      <c r="I977" s="78"/>
      <c r="J977" s="78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  <c r="V977" s="78"/>
      <c r="W977" s="78"/>
      <c r="X977" s="78"/>
      <c r="Y977" s="78"/>
      <c r="Z977" s="78"/>
    </row>
    <row r="978" spans="1:26" ht="12.75" customHeight="1" x14ac:dyDescent="0.2">
      <c r="A978" s="78"/>
      <c r="B978" s="78"/>
      <c r="C978" s="78"/>
      <c r="D978" s="78"/>
      <c r="E978" s="78"/>
      <c r="F978" s="78"/>
      <c r="G978" s="78"/>
      <c r="H978" s="78"/>
      <c r="I978" s="78"/>
      <c r="J978" s="78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  <c r="V978" s="78"/>
      <c r="W978" s="78"/>
      <c r="X978" s="78"/>
      <c r="Y978" s="78"/>
      <c r="Z978" s="78"/>
    </row>
    <row r="979" spans="1:26" ht="12.75" customHeight="1" x14ac:dyDescent="0.2">
      <c r="A979" s="78"/>
      <c r="B979" s="78"/>
      <c r="C979" s="78"/>
      <c r="D979" s="78"/>
      <c r="E979" s="78"/>
      <c r="F979" s="78"/>
      <c r="G979" s="78"/>
      <c r="H979" s="78"/>
      <c r="I979" s="78"/>
      <c r="J979" s="78"/>
      <c r="K979" s="78"/>
      <c r="L979" s="78"/>
      <c r="M979" s="78"/>
      <c r="N979" s="78"/>
      <c r="O979" s="78"/>
      <c r="P979" s="78"/>
      <c r="Q979" s="78"/>
      <c r="R979" s="78"/>
      <c r="S979" s="78"/>
      <c r="T979" s="78"/>
      <c r="U979" s="78"/>
      <c r="V979" s="78"/>
      <c r="W979" s="78"/>
      <c r="X979" s="78"/>
      <c r="Y979" s="78"/>
      <c r="Z979" s="78"/>
    </row>
    <row r="980" spans="1:26" ht="12.75" customHeight="1" x14ac:dyDescent="0.2">
      <c r="A980" s="78"/>
      <c r="B980" s="78"/>
      <c r="C980" s="78"/>
      <c r="D980" s="78"/>
      <c r="E980" s="78"/>
      <c r="F980" s="78"/>
      <c r="G980" s="78"/>
      <c r="H980" s="78"/>
      <c r="I980" s="78"/>
      <c r="J980" s="78"/>
      <c r="K980" s="78"/>
      <c r="L980" s="78"/>
      <c r="M980" s="78"/>
      <c r="N980" s="78"/>
      <c r="O980" s="78"/>
      <c r="P980" s="78"/>
      <c r="Q980" s="78"/>
      <c r="R980" s="78"/>
      <c r="S980" s="78"/>
      <c r="T980" s="78"/>
      <c r="U980" s="78"/>
      <c r="V980" s="78"/>
      <c r="W980" s="78"/>
      <c r="X980" s="78"/>
      <c r="Y980" s="78"/>
      <c r="Z980" s="78"/>
    </row>
    <row r="981" spans="1:26" ht="12.75" customHeight="1" x14ac:dyDescent="0.2">
      <c r="A981" s="78"/>
      <c r="B981" s="78"/>
      <c r="C981" s="78"/>
      <c r="D981" s="78"/>
      <c r="E981" s="78"/>
      <c r="F981" s="78"/>
      <c r="G981" s="78"/>
      <c r="H981" s="78"/>
      <c r="I981" s="78"/>
      <c r="J981" s="78"/>
      <c r="K981" s="78"/>
      <c r="L981" s="78"/>
      <c r="M981" s="78"/>
      <c r="N981" s="78"/>
      <c r="O981" s="78"/>
      <c r="P981" s="78"/>
      <c r="Q981" s="78"/>
      <c r="R981" s="78"/>
      <c r="S981" s="78"/>
      <c r="T981" s="78"/>
      <c r="U981" s="78"/>
      <c r="V981" s="78"/>
      <c r="W981" s="78"/>
      <c r="X981" s="78"/>
      <c r="Y981" s="78"/>
      <c r="Z981" s="78"/>
    </row>
    <row r="982" spans="1:26" ht="12.75" customHeight="1" x14ac:dyDescent="0.2">
      <c r="A982" s="78"/>
      <c r="B982" s="78"/>
      <c r="C982" s="78"/>
      <c r="D982" s="78"/>
      <c r="E982" s="78"/>
      <c r="F982" s="78"/>
      <c r="G982" s="78"/>
      <c r="H982" s="78"/>
      <c r="I982" s="78"/>
      <c r="J982" s="78"/>
      <c r="K982" s="78"/>
      <c r="L982" s="78"/>
      <c r="M982" s="78"/>
      <c r="N982" s="78"/>
      <c r="O982" s="78"/>
      <c r="P982" s="78"/>
      <c r="Q982" s="78"/>
      <c r="R982" s="78"/>
      <c r="S982" s="78"/>
      <c r="T982" s="78"/>
      <c r="U982" s="78"/>
      <c r="V982" s="78"/>
      <c r="W982" s="78"/>
      <c r="X982" s="78"/>
      <c r="Y982" s="78"/>
      <c r="Z982" s="78"/>
    </row>
    <row r="983" spans="1:26" ht="12.75" customHeight="1" x14ac:dyDescent="0.2">
      <c r="A983" s="78"/>
      <c r="B983" s="78"/>
      <c r="C983" s="78"/>
      <c r="D983" s="78"/>
      <c r="E983" s="78"/>
      <c r="F983" s="78"/>
      <c r="G983" s="78"/>
      <c r="H983" s="78"/>
      <c r="I983" s="78"/>
      <c r="J983" s="78"/>
      <c r="K983" s="78"/>
      <c r="L983" s="78"/>
      <c r="M983" s="78"/>
      <c r="N983" s="78"/>
      <c r="O983" s="78"/>
      <c r="P983" s="78"/>
      <c r="Q983" s="78"/>
      <c r="R983" s="78"/>
      <c r="S983" s="78"/>
      <c r="T983" s="78"/>
      <c r="U983" s="78"/>
      <c r="V983" s="78"/>
      <c r="W983" s="78"/>
      <c r="X983" s="78"/>
      <c r="Y983" s="78"/>
      <c r="Z983" s="78"/>
    </row>
    <row r="984" spans="1:26" ht="12.75" customHeight="1" x14ac:dyDescent="0.2">
      <c r="A984" s="78"/>
      <c r="B984" s="78"/>
      <c r="C984" s="78"/>
      <c r="D984" s="78"/>
      <c r="E984" s="78"/>
      <c r="F984" s="78"/>
      <c r="G984" s="78"/>
      <c r="H984" s="78"/>
      <c r="I984" s="78"/>
      <c r="J984" s="78"/>
      <c r="K984" s="78"/>
      <c r="L984" s="78"/>
      <c r="M984" s="78"/>
      <c r="N984" s="78"/>
      <c r="O984" s="78"/>
      <c r="P984" s="78"/>
      <c r="Q984" s="78"/>
      <c r="R984" s="78"/>
      <c r="S984" s="78"/>
      <c r="T984" s="78"/>
      <c r="U984" s="78"/>
      <c r="V984" s="78"/>
      <c r="W984" s="78"/>
      <c r="X984" s="78"/>
      <c r="Y984" s="78"/>
      <c r="Z984" s="78"/>
    </row>
    <row r="985" spans="1:26" ht="12.75" customHeight="1" x14ac:dyDescent="0.2">
      <c r="A985" s="78"/>
      <c r="B985" s="78"/>
      <c r="C985" s="78"/>
      <c r="D985" s="78"/>
      <c r="E985" s="78"/>
      <c r="F985" s="78"/>
      <c r="G985" s="78"/>
      <c r="H985" s="78"/>
      <c r="I985" s="78"/>
      <c r="J985" s="78"/>
      <c r="K985" s="78"/>
      <c r="L985" s="78"/>
      <c r="M985" s="78"/>
      <c r="N985" s="78"/>
      <c r="O985" s="78"/>
      <c r="P985" s="78"/>
      <c r="Q985" s="78"/>
      <c r="R985" s="78"/>
      <c r="S985" s="78"/>
      <c r="T985" s="78"/>
      <c r="U985" s="78"/>
      <c r="V985" s="78"/>
      <c r="W985" s="78"/>
      <c r="X985" s="78"/>
      <c r="Y985" s="78"/>
      <c r="Z985" s="78"/>
    </row>
    <row r="986" spans="1:26" ht="12.75" customHeight="1" x14ac:dyDescent="0.2">
      <c r="A986" s="78"/>
      <c r="B986" s="78"/>
      <c r="C986" s="78"/>
      <c r="D986" s="78"/>
      <c r="E986" s="78"/>
      <c r="F986" s="78"/>
      <c r="G986" s="78"/>
      <c r="H986" s="78"/>
      <c r="I986" s="78"/>
      <c r="J986" s="78"/>
      <c r="K986" s="78"/>
      <c r="L986" s="78"/>
      <c r="M986" s="78"/>
      <c r="N986" s="78"/>
      <c r="O986" s="78"/>
      <c r="P986" s="78"/>
      <c r="Q986" s="78"/>
      <c r="R986" s="78"/>
      <c r="S986" s="78"/>
      <c r="T986" s="78"/>
      <c r="U986" s="78"/>
      <c r="V986" s="78"/>
      <c r="W986" s="78"/>
      <c r="X986" s="78"/>
      <c r="Y986" s="78"/>
      <c r="Z986" s="78"/>
    </row>
    <row r="987" spans="1:26" ht="12.75" customHeight="1" x14ac:dyDescent="0.2">
      <c r="A987" s="78"/>
      <c r="B987" s="78"/>
      <c r="C987" s="78"/>
      <c r="D987" s="78"/>
      <c r="E987" s="78"/>
      <c r="F987" s="78"/>
      <c r="G987" s="78"/>
      <c r="H987" s="78"/>
      <c r="I987" s="78"/>
      <c r="J987" s="78"/>
      <c r="K987" s="78"/>
      <c r="L987" s="78"/>
      <c r="M987" s="78"/>
      <c r="N987" s="78"/>
      <c r="O987" s="78"/>
      <c r="P987" s="78"/>
      <c r="Q987" s="78"/>
      <c r="R987" s="78"/>
      <c r="S987" s="78"/>
      <c r="T987" s="78"/>
      <c r="U987" s="78"/>
      <c r="V987" s="78"/>
      <c r="W987" s="78"/>
      <c r="X987" s="78"/>
      <c r="Y987" s="78"/>
      <c r="Z987" s="78"/>
    </row>
    <row r="988" spans="1:26" ht="12.75" customHeight="1" x14ac:dyDescent="0.2">
      <c r="A988" s="78"/>
      <c r="B988" s="78"/>
      <c r="C988" s="78"/>
      <c r="D988" s="78"/>
      <c r="E988" s="78"/>
      <c r="F988" s="78"/>
      <c r="G988" s="78"/>
      <c r="H988" s="78"/>
      <c r="I988" s="78"/>
      <c r="J988" s="78"/>
      <c r="K988" s="78"/>
      <c r="L988" s="78"/>
      <c r="M988" s="78"/>
      <c r="N988" s="78"/>
      <c r="O988" s="78"/>
      <c r="P988" s="78"/>
      <c r="Q988" s="78"/>
      <c r="R988" s="78"/>
      <c r="S988" s="78"/>
      <c r="T988" s="78"/>
      <c r="U988" s="78"/>
      <c r="V988" s="78"/>
      <c r="W988" s="78"/>
      <c r="X988" s="78"/>
      <c r="Y988" s="78"/>
      <c r="Z988" s="78"/>
    </row>
    <row r="989" spans="1:26" ht="12.75" customHeight="1" x14ac:dyDescent="0.2">
      <c r="A989" s="78"/>
      <c r="B989" s="78"/>
      <c r="C989" s="78"/>
      <c r="D989" s="78"/>
      <c r="E989" s="78"/>
      <c r="F989" s="78"/>
      <c r="G989" s="78"/>
      <c r="H989" s="78"/>
      <c r="I989" s="78"/>
      <c r="J989" s="78"/>
      <c r="K989" s="78"/>
      <c r="L989" s="78"/>
      <c r="M989" s="78"/>
      <c r="N989" s="78"/>
      <c r="O989" s="78"/>
      <c r="P989" s="78"/>
      <c r="Q989" s="78"/>
      <c r="R989" s="78"/>
      <c r="S989" s="78"/>
      <c r="T989" s="78"/>
      <c r="U989" s="78"/>
      <c r="V989" s="78"/>
      <c r="W989" s="78"/>
      <c r="X989" s="78"/>
      <c r="Y989" s="78"/>
      <c r="Z989" s="78"/>
    </row>
    <row r="990" spans="1:26" ht="12.75" customHeight="1" x14ac:dyDescent="0.2">
      <c r="A990" s="78"/>
      <c r="B990" s="78"/>
      <c r="C990" s="78"/>
      <c r="D990" s="78"/>
      <c r="E990" s="78"/>
      <c r="F990" s="78"/>
      <c r="G990" s="78"/>
      <c r="H990" s="78"/>
      <c r="I990" s="78"/>
      <c r="J990" s="78"/>
      <c r="K990" s="78"/>
      <c r="L990" s="78"/>
      <c r="M990" s="78"/>
      <c r="N990" s="78"/>
      <c r="O990" s="78"/>
      <c r="P990" s="78"/>
      <c r="Q990" s="78"/>
      <c r="R990" s="78"/>
      <c r="S990" s="78"/>
      <c r="T990" s="78"/>
      <c r="U990" s="78"/>
      <c r="V990" s="78"/>
      <c r="W990" s="78"/>
      <c r="X990" s="78"/>
      <c r="Y990" s="78"/>
      <c r="Z990" s="78"/>
    </row>
    <row r="991" spans="1:26" ht="12.75" customHeight="1" x14ac:dyDescent="0.2">
      <c r="A991" s="78"/>
      <c r="B991" s="78"/>
      <c r="C991" s="78"/>
      <c r="D991" s="78"/>
      <c r="E991" s="78"/>
      <c r="F991" s="78"/>
      <c r="G991" s="78"/>
      <c r="H991" s="78"/>
      <c r="I991" s="78"/>
      <c r="J991" s="78"/>
      <c r="K991" s="78"/>
      <c r="L991" s="78"/>
      <c r="M991" s="78"/>
      <c r="N991" s="78"/>
      <c r="O991" s="78"/>
      <c r="P991" s="78"/>
      <c r="Q991" s="78"/>
      <c r="R991" s="78"/>
      <c r="S991" s="78"/>
      <c r="T991" s="78"/>
      <c r="U991" s="78"/>
      <c r="V991" s="78"/>
      <c r="W991" s="78"/>
      <c r="X991" s="78"/>
      <c r="Y991" s="78"/>
      <c r="Z991" s="78"/>
    </row>
    <row r="992" spans="1:26" ht="12.75" customHeight="1" x14ac:dyDescent="0.2">
      <c r="A992" s="78"/>
      <c r="B992" s="78"/>
      <c r="C992" s="78"/>
      <c r="D992" s="78"/>
      <c r="E992" s="78"/>
      <c r="F992" s="78"/>
      <c r="G992" s="78"/>
      <c r="H992" s="78"/>
      <c r="I992" s="78"/>
      <c r="J992" s="78"/>
      <c r="K992" s="78"/>
      <c r="L992" s="78"/>
      <c r="M992" s="78"/>
      <c r="N992" s="78"/>
      <c r="O992" s="78"/>
      <c r="P992" s="78"/>
      <c r="Q992" s="78"/>
      <c r="R992" s="78"/>
      <c r="S992" s="78"/>
      <c r="T992" s="78"/>
      <c r="U992" s="78"/>
      <c r="V992" s="78"/>
      <c r="W992" s="78"/>
      <c r="X992" s="78"/>
      <c r="Y992" s="78"/>
      <c r="Z992" s="78"/>
    </row>
    <row r="993" spans="1:26" ht="12.75" customHeight="1" x14ac:dyDescent="0.2">
      <c r="A993" s="78"/>
      <c r="B993" s="78"/>
      <c r="C993" s="78"/>
      <c r="D993" s="78"/>
      <c r="E993" s="78"/>
      <c r="F993" s="78"/>
      <c r="G993" s="78"/>
      <c r="H993" s="78"/>
      <c r="I993" s="78"/>
      <c r="J993" s="78"/>
      <c r="K993" s="78"/>
      <c r="L993" s="78"/>
      <c r="M993" s="78"/>
      <c r="N993" s="78"/>
      <c r="O993" s="78"/>
      <c r="P993" s="78"/>
      <c r="Q993" s="78"/>
      <c r="R993" s="78"/>
      <c r="S993" s="78"/>
      <c r="T993" s="78"/>
      <c r="U993" s="78"/>
      <c r="V993" s="78"/>
      <c r="W993" s="78"/>
      <c r="X993" s="78"/>
      <c r="Y993" s="78"/>
      <c r="Z993" s="78"/>
    </row>
    <row r="994" spans="1:26" ht="12.75" customHeight="1" x14ac:dyDescent="0.2">
      <c r="A994" s="78"/>
      <c r="B994" s="78"/>
      <c r="C994" s="78"/>
      <c r="D994" s="78"/>
      <c r="E994" s="78"/>
      <c r="F994" s="78"/>
      <c r="G994" s="78"/>
      <c r="H994" s="78"/>
      <c r="I994" s="78"/>
      <c r="J994" s="78"/>
      <c r="K994" s="78"/>
      <c r="L994" s="78"/>
      <c r="M994" s="78"/>
      <c r="N994" s="78"/>
      <c r="O994" s="78"/>
      <c r="P994" s="78"/>
      <c r="Q994" s="78"/>
      <c r="R994" s="78"/>
      <c r="S994" s="78"/>
      <c r="T994" s="78"/>
      <c r="U994" s="78"/>
      <c r="V994" s="78"/>
      <c r="W994" s="78"/>
      <c r="X994" s="78"/>
      <c r="Y994" s="78"/>
      <c r="Z994" s="78"/>
    </row>
    <row r="995" spans="1:26" ht="12.75" customHeight="1" x14ac:dyDescent="0.2">
      <c r="A995" s="78"/>
      <c r="B995" s="78"/>
      <c r="C995" s="78"/>
      <c r="D995" s="78"/>
      <c r="E995" s="78"/>
      <c r="F995" s="78"/>
      <c r="G995" s="78"/>
      <c r="H995" s="78"/>
      <c r="I995" s="78"/>
      <c r="J995" s="78"/>
      <c r="K995" s="78"/>
      <c r="L995" s="78"/>
      <c r="M995" s="78"/>
      <c r="N995" s="78"/>
      <c r="O995" s="78"/>
      <c r="P995" s="78"/>
      <c r="Q995" s="78"/>
      <c r="R995" s="78"/>
      <c r="S995" s="78"/>
      <c r="T995" s="78"/>
      <c r="U995" s="78"/>
      <c r="V995" s="78"/>
      <c r="W995" s="78"/>
      <c r="X995" s="78"/>
      <c r="Y995" s="78"/>
      <c r="Z995" s="78"/>
    </row>
    <row r="996" spans="1:26" ht="12.75" customHeight="1" x14ac:dyDescent="0.2">
      <c r="A996" s="78"/>
      <c r="B996" s="78"/>
      <c r="C996" s="78"/>
      <c r="D996" s="78"/>
      <c r="E996" s="78"/>
      <c r="F996" s="78"/>
      <c r="G996" s="78"/>
      <c r="H996" s="78"/>
      <c r="I996" s="78"/>
      <c r="J996" s="78"/>
      <c r="K996" s="78"/>
      <c r="L996" s="78"/>
      <c r="M996" s="78"/>
      <c r="N996" s="78"/>
      <c r="O996" s="78"/>
      <c r="P996" s="78"/>
      <c r="Q996" s="78"/>
      <c r="R996" s="78"/>
      <c r="S996" s="78"/>
      <c r="T996" s="78"/>
      <c r="U996" s="78"/>
      <c r="V996" s="78"/>
      <c r="W996" s="78"/>
      <c r="X996" s="78"/>
      <c r="Y996" s="78"/>
      <c r="Z996" s="78"/>
    </row>
    <row r="997" spans="1:26" ht="12.75" customHeight="1" x14ac:dyDescent="0.2">
      <c r="A997" s="78"/>
      <c r="B997" s="78"/>
      <c r="C997" s="78"/>
      <c r="D997" s="78"/>
      <c r="E997" s="78"/>
      <c r="F997" s="78"/>
      <c r="G997" s="78"/>
      <c r="H997" s="78"/>
      <c r="I997" s="78"/>
      <c r="J997" s="78"/>
      <c r="K997" s="78"/>
      <c r="L997" s="78"/>
      <c r="M997" s="78"/>
      <c r="N997" s="78"/>
      <c r="O997" s="78"/>
      <c r="P997" s="78"/>
      <c r="Q997" s="78"/>
      <c r="R997" s="78"/>
      <c r="S997" s="78"/>
      <c r="T997" s="78"/>
      <c r="U997" s="78"/>
      <c r="V997" s="78"/>
      <c r="W997" s="78"/>
      <c r="X997" s="78"/>
      <c r="Y997" s="78"/>
      <c r="Z997" s="78"/>
    </row>
    <row r="998" spans="1:26" ht="12.75" customHeight="1" x14ac:dyDescent="0.2">
      <c r="A998" s="78"/>
      <c r="B998" s="78"/>
      <c r="C998" s="78"/>
      <c r="D998" s="78"/>
      <c r="E998" s="78"/>
      <c r="F998" s="78"/>
      <c r="G998" s="78"/>
      <c r="H998" s="78"/>
      <c r="I998" s="78"/>
      <c r="J998" s="78"/>
      <c r="K998" s="78"/>
      <c r="L998" s="78"/>
      <c r="M998" s="78"/>
      <c r="N998" s="78"/>
      <c r="O998" s="78"/>
      <c r="P998" s="78"/>
      <c r="Q998" s="78"/>
      <c r="R998" s="78"/>
      <c r="S998" s="78"/>
      <c r="T998" s="78"/>
      <c r="U998" s="78"/>
      <c r="V998" s="78"/>
      <c r="W998" s="78"/>
      <c r="X998" s="78"/>
      <c r="Y998" s="78"/>
      <c r="Z998" s="78"/>
    </row>
    <row r="999" spans="1:26" ht="12.75" customHeight="1" x14ac:dyDescent="0.2">
      <c r="A999" s="78"/>
      <c r="B999" s="78"/>
      <c r="C999" s="78"/>
      <c r="D999" s="78"/>
      <c r="E999" s="78"/>
      <c r="F999" s="78"/>
      <c r="G999" s="78"/>
      <c r="H999" s="78"/>
      <c r="I999" s="78"/>
      <c r="J999" s="78"/>
      <c r="K999" s="78"/>
      <c r="L999" s="78"/>
      <c r="M999" s="78"/>
      <c r="N999" s="78"/>
      <c r="O999" s="78"/>
      <c r="P999" s="78"/>
      <c r="Q999" s="78"/>
      <c r="R999" s="78"/>
      <c r="S999" s="78"/>
      <c r="T999" s="78"/>
      <c r="U999" s="78"/>
      <c r="V999" s="78"/>
      <c r="W999" s="78"/>
      <c r="X999" s="78"/>
      <c r="Y999" s="78"/>
      <c r="Z999" s="78"/>
    </row>
    <row r="1000" spans="1:26" ht="12.75" customHeight="1" x14ac:dyDescent="0.2">
      <c r="A1000" s="78"/>
      <c r="B1000" s="78"/>
      <c r="C1000" s="78"/>
      <c r="D1000" s="78"/>
      <c r="E1000" s="78"/>
      <c r="F1000" s="78"/>
      <c r="G1000" s="78"/>
      <c r="H1000" s="78"/>
      <c r="I1000" s="78"/>
      <c r="J1000" s="78"/>
      <c r="K1000" s="78"/>
      <c r="L1000" s="78"/>
      <c r="M1000" s="78"/>
      <c r="N1000" s="78"/>
      <c r="O1000" s="78"/>
      <c r="P1000" s="78"/>
      <c r="Q1000" s="78"/>
      <c r="R1000" s="78"/>
      <c r="S1000" s="78"/>
      <c r="T1000" s="78"/>
      <c r="U1000" s="78"/>
      <c r="V1000" s="78"/>
      <c r="W1000" s="78"/>
      <c r="X1000" s="78"/>
      <c r="Y1000" s="78"/>
      <c r="Z1000" s="78"/>
    </row>
  </sheetData>
  <mergeCells count="2">
    <mergeCell ref="F5:I5"/>
    <mergeCell ref="K5:N5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/>
  </sheetPr>
  <dimension ref="A1:Z1000"/>
  <sheetViews>
    <sheetView workbookViewId="0"/>
  </sheetViews>
  <sheetFormatPr baseColWidth="10" defaultColWidth="14.5" defaultRowHeight="15" customHeight="1" x14ac:dyDescent="0.2"/>
  <cols>
    <col min="1" max="1" width="4.6640625" customWidth="1"/>
    <col min="2" max="5" width="1.5" customWidth="1"/>
    <col min="6" max="6" width="38.83203125" customWidth="1"/>
    <col min="7" max="9" width="14" customWidth="1"/>
    <col min="10" max="10" width="14.1640625" customWidth="1"/>
    <col min="11" max="13" width="14" customWidth="1"/>
    <col min="14" max="14" width="14.1640625" customWidth="1"/>
    <col min="15" max="15" width="14" customWidth="1"/>
    <col min="16" max="18" width="14" hidden="1" customWidth="1"/>
    <col min="19" max="26" width="9.1640625" customWidth="1"/>
  </cols>
  <sheetData>
    <row r="1" spans="1:26" ht="12.75" customHeight="1" x14ac:dyDescent="0.2">
      <c r="A1" s="2" t="s">
        <v>1</v>
      </c>
      <c r="B1" s="2"/>
      <c r="C1" s="109"/>
      <c r="D1" s="109"/>
      <c r="E1" s="109"/>
      <c r="F1" s="109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</row>
    <row r="2" spans="1:26" ht="12.75" customHeight="1" x14ac:dyDescent="0.2">
      <c r="A2" s="2" t="s">
        <v>99</v>
      </c>
      <c r="B2" s="2"/>
      <c r="C2" s="109"/>
      <c r="D2" s="109"/>
      <c r="E2" s="109"/>
      <c r="F2" s="109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</row>
    <row r="3" spans="1:26" ht="12.75" customHeight="1" x14ac:dyDescent="0.2">
      <c r="A3" s="78" t="s">
        <v>76</v>
      </c>
      <c r="B3" s="78"/>
      <c r="C3" s="78"/>
      <c r="D3" s="78"/>
      <c r="E3" s="78"/>
      <c r="F3" s="78"/>
      <c r="G3" s="110"/>
      <c r="H3" s="110"/>
      <c r="I3" s="110"/>
      <c r="J3" s="78">
        <v>7.0000000000000007E-2</v>
      </c>
      <c r="K3" s="110"/>
      <c r="L3" s="110"/>
      <c r="M3" s="110"/>
      <c r="N3" s="78"/>
      <c r="O3" s="110"/>
      <c r="P3" s="110"/>
      <c r="Q3" s="110"/>
      <c r="R3" s="110"/>
      <c r="S3" s="78"/>
      <c r="T3" s="78"/>
      <c r="U3" s="78"/>
      <c r="V3" s="78"/>
      <c r="W3" s="78"/>
      <c r="X3" s="78"/>
      <c r="Y3" s="78"/>
      <c r="Z3" s="78"/>
    </row>
    <row r="4" spans="1:26" ht="12.75" customHeight="1" x14ac:dyDescent="0.2">
      <c r="A4" s="78" t="s">
        <v>100</v>
      </c>
      <c r="B4" s="78"/>
      <c r="C4" s="78"/>
      <c r="D4" s="78"/>
      <c r="E4" s="78"/>
      <c r="F4" s="78"/>
      <c r="G4" s="110"/>
      <c r="H4" s="110"/>
      <c r="I4" s="110"/>
      <c r="J4" s="78"/>
      <c r="K4" s="110"/>
      <c r="L4" s="110"/>
      <c r="M4" s="110"/>
      <c r="N4" s="78"/>
      <c r="O4" s="110"/>
      <c r="P4" s="110"/>
      <c r="Q4" s="110"/>
      <c r="R4" s="110"/>
      <c r="S4" s="78"/>
      <c r="T4" s="78"/>
      <c r="U4" s="78"/>
      <c r="V4" s="78"/>
      <c r="W4" s="78"/>
      <c r="X4" s="78"/>
      <c r="Y4" s="78"/>
      <c r="Z4" s="78"/>
    </row>
    <row r="5" spans="1:26" ht="12.75" customHeight="1" x14ac:dyDescent="0.2">
      <c r="A5" s="78"/>
      <c r="B5" s="78"/>
      <c r="C5" s="78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</row>
    <row r="6" spans="1:26" ht="12.75" customHeight="1" x14ac:dyDescent="0.2">
      <c r="A6" s="78"/>
      <c r="B6" s="78"/>
      <c r="C6" s="78"/>
      <c r="D6" s="78"/>
      <c r="E6" s="78"/>
      <c r="F6" s="78"/>
      <c r="G6" s="82" t="s">
        <v>80</v>
      </c>
      <c r="H6" s="82" t="s">
        <v>81</v>
      </c>
      <c r="I6" s="82" t="s">
        <v>82</v>
      </c>
      <c r="J6" s="111" t="s">
        <v>83</v>
      </c>
      <c r="K6" s="82" t="s">
        <v>80</v>
      </c>
      <c r="L6" s="82" t="s">
        <v>81</v>
      </c>
      <c r="M6" s="82" t="s">
        <v>82</v>
      </c>
      <c r="N6" s="111" t="s">
        <v>83</v>
      </c>
      <c r="O6" s="82" t="s">
        <v>80</v>
      </c>
      <c r="P6" s="82" t="s">
        <v>81</v>
      </c>
      <c r="Q6" s="82" t="s">
        <v>82</v>
      </c>
      <c r="R6" s="112" t="s">
        <v>83</v>
      </c>
      <c r="S6" s="78"/>
      <c r="T6" s="78"/>
      <c r="U6" s="78"/>
      <c r="V6" s="78"/>
      <c r="W6" s="78"/>
      <c r="X6" s="78"/>
      <c r="Y6" s="78"/>
      <c r="Z6" s="78"/>
    </row>
    <row r="7" spans="1:26" ht="12.75" customHeight="1" x14ac:dyDescent="0.2">
      <c r="A7" s="78"/>
      <c r="B7" s="78"/>
      <c r="C7" s="78"/>
      <c r="D7" s="78"/>
      <c r="E7" s="78"/>
      <c r="F7" s="78"/>
      <c r="G7" s="84">
        <v>2021</v>
      </c>
      <c r="H7" s="84">
        <v>2021</v>
      </c>
      <c r="I7" s="84">
        <v>2021</v>
      </c>
      <c r="J7" s="113">
        <v>2021</v>
      </c>
      <c r="K7" s="84">
        <v>2022</v>
      </c>
      <c r="L7" s="84">
        <v>2022</v>
      </c>
      <c r="M7" s="84">
        <v>2022</v>
      </c>
      <c r="N7" s="113">
        <v>2022</v>
      </c>
      <c r="O7" s="84">
        <v>2023</v>
      </c>
      <c r="P7" s="84">
        <v>2022</v>
      </c>
      <c r="Q7" s="84">
        <v>2022</v>
      </c>
      <c r="R7" s="85">
        <v>2022</v>
      </c>
      <c r="S7" s="78"/>
      <c r="T7" s="78"/>
      <c r="U7" s="78"/>
      <c r="V7" s="78"/>
      <c r="W7" s="78"/>
      <c r="X7" s="78"/>
      <c r="Y7" s="78"/>
      <c r="Z7" s="78"/>
    </row>
    <row r="8" spans="1:26" ht="12.75" customHeight="1" x14ac:dyDescent="0.2">
      <c r="A8" s="109" t="s">
        <v>101</v>
      </c>
      <c r="B8" s="109"/>
      <c r="C8" s="78"/>
      <c r="D8" s="78"/>
      <c r="E8" s="78"/>
      <c r="F8" s="78"/>
      <c r="G8" s="78"/>
      <c r="H8" s="78"/>
      <c r="I8" s="78"/>
      <c r="J8" s="114"/>
      <c r="K8" s="78"/>
      <c r="L8" s="78"/>
      <c r="M8" s="78"/>
      <c r="N8" s="114"/>
      <c r="O8" s="78"/>
      <c r="P8" s="78"/>
      <c r="Q8" s="78"/>
      <c r="R8" s="87"/>
      <c r="S8" s="78"/>
      <c r="T8" s="78"/>
      <c r="U8" s="78"/>
      <c r="V8" s="78"/>
      <c r="W8" s="78"/>
      <c r="X8" s="78"/>
      <c r="Y8" s="78"/>
      <c r="Z8" s="78"/>
    </row>
    <row r="9" spans="1:26" ht="12.75" customHeight="1" x14ac:dyDescent="0.2">
      <c r="A9" s="78" t="s">
        <v>102</v>
      </c>
      <c r="B9" s="78"/>
      <c r="C9" s="78"/>
      <c r="D9" s="78"/>
      <c r="E9" s="78"/>
      <c r="F9" s="78"/>
      <c r="G9" s="78"/>
      <c r="H9" s="78"/>
      <c r="I9" s="78"/>
      <c r="J9" s="114"/>
      <c r="K9" s="78"/>
      <c r="L9" s="78"/>
      <c r="M9" s="78"/>
      <c r="N9" s="114"/>
      <c r="O9" s="78"/>
      <c r="P9" s="78"/>
      <c r="Q9" s="78"/>
      <c r="R9" s="87"/>
      <c r="S9" s="78"/>
      <c r="T9" s="78"/>
      <c r="U9" s="78"/>
      <c r="V9" s="78"/>
      <c r="W9" s="78"/>
      <c r="X9" s="78"/>
      <c r="Y9" s="78"/>
      <c r="Z9" s="78"/>
    </row>
    <row r="10" spans="1:26" ht="12.75" customHeight="1" x14ac:dyDescent="0.2">
      <c r="A10" s="78"/>
      <c r="B10" s="78"/>
      <c r="C10" s="78" t="s">
        <v>103</v>
      </c>
      <c r="D10" s="78"/>
      <c r="E10" s="78"/>
      <c r="F10" s="78"/>
      <c r="G10" s="115">
        <v>588259.35000000009</v>
      </c>
      <c r="H10" s="115">
        <v>544427.10000000009</v>
      </c>
      <c r="I10" s="115">
        <v>526867.67000000004</v>
      </c>
      <c r="J10" s="116">
        <v>421946.28</v>
      </c>
      <c r="K10" s="115">
        <v>420626.22000000003</v>
      </c>
      <c r="L10" s="115">
        <v>407361.43000000005</v>
      </c>
      <c r="M10" s="115">
        <v>427961.31000000006</v>
      </c>
      <c r="N10" s="116">
        <v>360302.32</v>
      </c>
      <c r="O10" s="115">
        <v>470021.58</v>
      </c>
      <c r="P10" s="117">
        <v>5819449</v>
      </c>
      <c r="Q10" s="117">
        <v>6113733</v>
      </c>
      <c r="R10" s="118">
        <v>5147176</v>
      </c>
      <c r="S10" s="78"/>
      <c r="T10" s="78"/>
      <c r="U10" s="78"/>
      <c r="V10" s="78"/>
      <c r="W10" s="78"/>
      <c r="X10" s="78"/>
      <c r="Y10" s="78"/>
      <c r="Z10" s="78"/>
    </row>
    <row r="11" spans="1:26" ht="12.75" customHeight="1" x14ac:dyDescent="0.2">
      <c r="A11" s="78"/>
      <c r="B11" s="78"/>
      <c r="C11" s="78" t="s">
        <v>104</v>
      </c>
      <c r="D11" s="78"/>
      <c r="E11" s="78"/>
      <c r="F11" s="78"/>
      <c r="G11" s="119">
        <v>0</v>
      </c>
      <c r="H11" s="119">
        <v>0</v>
      </c>
      <c r="I11" s="119">
        <v>0</v>
      </c>
      <c r="J11" s="120">
        <v>0</v>
      </c>
      <c r="K11" s="119">
        <v>0</v>
      </c>
      <c r="L11" s="119">
        <v>0</v>
      </c>
      <c r="M11" s="119">
        <v>0</v>
      </c>
      <c r="N11" s="120">
        <v>63789.320000000007</v>
      </c>
      <c r="O11" s="119">
        <v>77903.700000000012</v>
      </c>
      <c r="P11" s="93">
        <v>0</v>
      </c>
      <c r="Q11" s="93">
        <v>0</v>
      </c>
      <c r="R11" s="121">
        <v>911276</v>
      </c>
      <c r="S11" s="78"/>
      <c r="T11" s="78"/>
      <c r="U11" s="78"/>
      <c r="V11" s="78"/>
      <c r="W11" s="78"/>
      <c r="X11" s="78"/>
      <c r="Y11" s="78"/>
      <c r="Z11" s="78"/>
    </row>
    <row r="12" spans="1:26" ht="12.75" customHeight="1" x14ac:dyDescent="0.2">
      <c r="A12" s="78"/>
      <c r="B12" s="78"/>
      <c r="C12" s="78" t="s">
        <v>105</v>
      </c>
      <c r="D12" s="78"/>
      <c r="E12" s="78"/>
      <c r="F12" s="78"/>
      <c r="G12" s="122">
        <v>119266.21</v>
      </c>
      <c r="H12" s="122">
        <v>127872.22000000002</v>
      </c>
      <c r="I12" s="122">
        <v>132237.42000000001</v>
      </c>
      <c r="J12" s="123">
        <v>142941.47</v>
      </c>
      <c r="K12" s="122">
        <v>146234.83000000002</v>
      </c>
      <c r="L12" s="122">
        <v>141493.03000000003</v>
      </c>
      <c r="M12" s="122">
        <v>189221.90000000002</v>
      </c>
      <c r="N12" s="123">
        <v>224561.47000000003</v>
      </c>
      <c r="O12" s="122">
        <v>185858.33000000002</v>
      </c>
      <c r="P12" s="93">
        <v>2021329</v>
      </c>
      <c r="Q12" s="93">
        <v>2703170</v>
      </c>
      <c r="R12" s="121">
        <v>3208021</v>
      </c>
      <c r="S12" s="78"/>
      <c r="T12" s="78"/>
      <c r="U12" s="78"/>
      <c r="V12" s="78"/>
      <c r="W12" s="78"/>
      <c r="X12" s="78"/>
      <c r="Y12" s="78"/>
      <c r="Z12" s="78"/>
    </row>
    <row r="13" spans="1:26" ht="12.75" customHeight="1" x14ac:dyDescent="0.2">
      <c r="A13" s="78"/>
      <c r="B13" s="78"/>
      <c r="C13" s="78"/>
      <c r="D13" s="78"/>
      <c r="E13" s="78"/>
      <c r="F13" s="109" t="s">
        <v>106</v>
      </c>
      <c r="G13" s="124">
        <f t="shared" ref="G13:R13" si="0">SUM(G10:G12)</f>
        <v>707525.56</v>
      </c>
      <c r="H13" s="124">
        <f t="shared" si="0"/>
        <v>672299.32000000007</v>
      </c>
      <c r="I13" s="124">
        <f t="shared" si="0"/>
        <v>659105.09000000008</v>
      </c>
      <c r="J13" s="125">
        <f t="shared" si="0"/>
        <v>564887.75</v>
      </c>
      <c r="K13" s="124">
        <f t="shared" si="0"/>
        <v>566861.05000000005</v>
      </c>
      <c r="L13" s="124">
        <f t="shared" si="0"/>
        <v>548854.46000000008</v>
      </c>
      <c r="M13" s="124">
        <f t="shared" si="0"/>
        <v>617183.21000000008</v>
      </c>
      <c r="N13" s="125">
        <f t="shared" si="0"/>
        <v>648653.1100000001</v>
      </c>
      <c r="O13" s="124">
        <f t="shared" si="0"/>
        <v>733783.6100000001</v>
      </c>
      <c r="P13" s="126">
        <f t="shared" si="0"/>
        <v>7840778</v>
      </c>
      <c r="Q13" s="126">
        <f t="shared" si="0"/>
        <v>8816903</v>
      </c>
      <c r="R13" s="127">
        <f t="shared" si="0"/>
        <v>9266473</v>
      </c>
      <c r="S13" s="78"/>
      <c r="T13" s="78"/>
      <c r="U13" s="78"/>
      <c r="V13" s="78"/>
      <c r="W13" s="78"/>
      <c r="X13" s="78"/>
      <c r="Y13" s="78"/>
      <c r="Z13" s="78"/>
    </row>
    <row r="14" spans="1:26" ht="12.75" customHeight="1" x14ac:dyDescent="0.2">
      <c r="A14" s="128" t="s">
        <v>107</v>
      </c>
      <c r="B14" s="78"/>
      <c r="C14" s="78"/>
      <c r="D14" s="78"/>
      <c r="E14" s="78"/>
      <c r="F14" s="78"/>
      <c r="G14" s="119">
        <v>1823079.37</v>
      </c>
      <c r="H14" s="119">
        <v>1910414.8000000003</v>
      </c>
      <c r="I14" s="119">
        <v>2028183.1500000001</v>
      </c>
      <c r="J14" s="120">
        <v>2164367.73</v>
      </c>
      <c r="K14" s="119">
        <v>2183434.4000000004</v>
      </c>
      <c r="L14" s="119">
        <v>2277323.9300000002</v>
      </c>
      <c r="M14" s="119">
        <v>2294413.8000000003</v>
      </c>
      <c r="N14" s="120">
        <v>2291569.91</v>
      </c>
      <c r="O14" s="119">
        <v>2264442.8800000004</v>
      </c>
      <c r="P14" s="93">
        <v>32533199</v>
      </c>
      <c r="Q14" s="93">
        <v>32777340</v>
      </c>
      <c r="R14" s="121">
        <v>32736713</v>
      </c>
      <c r="S14" s="78"/>
      <c r="T14" s="78"/>
      <c r="U14" s="78"/>
      <c r="V14" s="78"/>
      <c r="W14" s="78"/>
      <c r="X14" s="78"/>
      <c r="Y14" s="78"/>
      <c r="Z14" s="78"/>
    </row>
    <row r="15" spans="1:26" ht="12.75" customHeight="1" x14ac:dyDescent="0.2">
      <c r="A15" s="78" t="s">
        <v>108</v>
      </c>
      <c r="B15" s="78"/>
      <c r="C15" s="78"/>
      <c r="D15" s="78"/>
      <c r="E15" s="78"/>
      <c r="F15" s="78"/>
      <c r="G15" s="119">
        <v>71079.33</v>
      </c>
      <c r="H15" s="119">
        <v>77520.590000000011</v>
      </c>
      <c r="I15" s="119">
        <v>85407.98000000001</v>
      </c>
      <c r="J15" s="120">
        <v>92641.71</v>
      </c>
      <c r="K15" s="119">
        <v>96863.41</v>
      </c>
      <c r="L15" s="119">
        <v>95334.400000000009</v>
      </c>
      <c r="M15" s="119">
        <v>96092.780000000013</v>
      </c>
      <c r="N15" s="120">
        <v>97877.99</v>
      </c>
      <c r="O15" s="119">
        <v>98916.580000000016</v>
      </c>
      <c r="P15" s="93">
        <v>1361920</v>
      </c>
      <c r="Q15" s="93">
        <v>1372754</v>
      </c>
      <c r="R15" s="121">
        <v>1398257</v>
      </c>
      <c r="S15" s="78"/>
      <c r="T15" s="78"/>
      <c r="U15" s="78"/>
      <c r="V15" s="78"/>
      <c r="W15" s="78"/>
      <c r="X15" s="78"/>
      <c r="Y15" s="78"/>
      <c r="Z15" s="78"/>
    </row>
    <row r="16" spans="1:26" ht="12.75" customHeight="1" x14ac:dyDescent="0.2">
      <c r="A16" s="78" t="s">
        <v>109</v>
      </c>
      <c r="B16" s="78"/>
      <c r="C16" s="78"/>
      <c r="D16" s="78"/>
      <c r="E16" s="78"/>
      <c r="F16" s="78"/>
      <c r="G16" s="122">
        <v>206926.72000000003</v>
      </c>
      <c r="H16" s="122">
        <v>207733.12000000002</v>
      </c>
      <c r="I16" s="122">
        <v>219093.77000000002</v>
      </c>
      <c r="J16" s="123">
        <v>299029.22000000003</v>
      </c>
      <c r="K16" s="122">
        <v>326004.42000000004</v>
      </c>
      <c r="L16" s="122">
        <v>323052.66000000003</v>
      </c>
      <c r="M16" s="122">
        <v>321663.30000000005</v>
      </c>
      <c r="N16" s="123">
        <v>363532.75000000006</v>
      </c>
      <c r="O16" s="122">
        <v>367181.08</v>
      </c>
      <c r="P16" s="129">
        <v>4615038</v>
      </c>
      <c r="Q16" s="129">
        <v>4595190</v>
      </c>
      <c r="R16" s="121">
        <v>5193325</v>
      </c>
      <c r="S16" s="78"/>
      <c r="T16" s="78"/>
      <c r="U16" s="78"/>
      <c r="V16" s="78"/>
      <c r="W16" s="78"/>
      <c r="X16" s="78"/>
      <c r="Y16" s="78"/>
      <c r="Z16" s="78"/>
    </row>
    <row r="17" spans="1:26" ht="12.75" customHeight="1" x14ac:dyDescent="0.2">
      <c r="A17" s="109"/>
      <c r="B17" s="109"/>
      <c r="C17" s="109"/>
      <c r="D17" s="109"/>
      <c r="E17" s="109"/>
      <c r="F17" s="109" t="s">
        <v>110</v>
      </c>
      <c r="G17" s="130">
        <f t="shared" ref="G17:R17" si="1">SUM(G13:G16)</f>
        <v>2808610.9800000004</v>
      </c>
      <c r="H17" s="130">
        <f t="shared" si="1"/>
        <v>2867967.83</v>
      </c>
      <c r="I17" s="130">
        <f t="shared" si="1"/>
        <v>2991789.99</v>
      </c>
      <c r="J17" s="131">
        <f t="shared" si="1"/>
        <v>3120926.41</v>
      </c>
      <c r="K17" s="130">
        <f t="shared" si="1"/>
        <v>3173163.2800000003</v>
      </c>
      <c r="L17" s="130">
        <f t="shared" si="1"/>
        <v>3244565.45</v>
      </c>
      <c r="M17" s="130">
        <f t="shared" si="1"/>
        <v>3329353.09</v>
      </c>
      <c r="N17" s="131">
        <f t="shared" si="1"/>
        <v>3401633.7600000007</v>
      </c>
      <c r="O17" s="130">
        <f t="shared" si="1"/>
        <v>3464324.1500000004</v>
      </c>
      <c r="P17" s="130">
        <f t="shared" si="1"/>
        <v>46350935</v>
      </c>
      <c r="Q17" s="130">
        <f t="shared" si="1"/>
        <v>47562187</v>
      </c>
      <c r="R17" s="132">
        <f t="shared" si="1"/>
        <v>48594768</v>
      </c>
      <c r="S17" s="109"/>
      <c r="T17" s="109"/>
      <c r="U17" s="109"/>
      <c r="V17" s="109"/>
      <c r="W17" s="109"/>
      <c r="X17" s="109"/>
      <c r="Y17" s="109"/>
      <c r="Z17" s="109"/>
    </row>
    <row r="18" spans="1:26" ht="12.75" customHeight="1" x14ac:dyDescent="0.2">
      <c r="A18" s="109" t="s">
        <v>111</v>
      </c>
      <c r="B18" s="109"/>
      <c r="C18" s="78"/>
      <c r="D18" s="78"/>
      <c r="E18" s="78"/>
      <c r="F18" s="78"/>
      <c r="G18" s="133"/>
      <c r="H18" s="133"/>
      <c r="I18" s="133"/>
      <c r="J18" s="134"/>
      <c r="K18" s="133"/>
      <c r="L18" s="133"/>
      <c r="M18" s="133"/>
      <c r="N18" s="134"/>
      <c r="O18" s="133"/>
      <c r="P18" s="133"/>
      <c r="Q18" s="133"/>
      <c r="R18" s="135"/>
      <c r="S18" s="78"/>
      <c r="T18" s="78"/>
      <c r="U18" s="78"/>
      <c r="V18" s="78"/>
      <c r="W18" s="78"/>
      <c r="X18" s="78"/>
      <c r="Y18" s="78"/>
      <c r="Z18" s="78"/>
    </row>
    <row r="19" spans="1:26" ht="12.75" customHeight="1" x14ac:dyDescent="0.2">
      <c r="A19" s="78" t="s">
        <v>112</v>
      </c>
      <c r="B19" s="78"/>
      <c r="C19" s="78"/>
      <c r="D19" s="78"/>
      <c r="E19" s="78"/>
      <c r="F19" s="78"/>
      <c r="G19" s="119"/>
      <c r="H19" s="119"/>
      <c r="I19" s="119"/>
      <c r="J19" s="125"/>
      <c r="K19" s="119"/>
      <c r="L19" s="119"/>
      <c r="M19" s="119"/>
      <c r="N19" s="125"/>
      <c r="O19" s="119"/>
      <c r="P19" s="119"/>
      <c r="Q19" s="119"/>
      <c r="R19" s="121"/>
      <c r="S19" s="78"/>
      <c r="T19" s="78"/>
      <c r="U19" s="78"/>
      <c r="V19" s="78"/>
      <c r="W19" s="78"/>
      <c r="X19" s="78"/>
      <c r="Y19" s="78"/>
      <c r="Z19" s="78"/>
    </row>
    <row r="20" spans="1:26" ht="12.75" customHeight="1" x14ac:dyDescent="0.2">
      <c r="A20" s="78"/>
      <c r="B20" s="78"/>
      <c r="C20" s="78" t="s">
        <v>113</v>
      </c>
      <c r="D20" s="78"/>
      <c r="E20" s="78"/>
      <c r="F20" s="78"/>
      <c r="G20" s="115">
        <v>300856.99000000005</v>
      </c>
      <c r="H20" s="115">
        <v>293851.18000000005</v>
      </c>
      <c r="I20" s="115">
        <v>287767.34000000003</v>
      </c>
      <c r="J20" s="116">
        <v>300507.69</v>
      </c>
      <c r="K20" s="115">
        <v>284640.23000000004</v>
      </c>
      <c r="L20" s="115">
        <v>292247.62000000005</v>
      </c>
      <c r="M20" s="115">
        <v>295812.30000000005</v>
      </c>
      <c r="N20" s="116">
        <v>313610.50000000006</v>
      </c>
      <c r="O20" s="115">
        <v>304120.60000000003</v>
      </c>
      <c r="P20" s="115">
        <v>4174966</v>
      </c>
      <c r="Q20" s="115">
        <v>4225890</v>
      </c>
      <c r="R20" s="118">
        <v>4480150</v>
      </c>
      <c r="S20" s="78"/>
      <c r="T20" s="78"/>
      <c r="U20" s="78"/>
      <c r="V20" s="78"/>
      <c r="W20" s="78"/>
      <c r="X20" s="78"/>
      <c r="Y20" s="78"/>
      <c r="Z20" s="78"/>
    </row>
    <row r="21" spans="1:26" ht="12.75" customHeight="1" x14ac:dyDescent="0.2">
      <c r="A21" s="78"/>
      <c r="B21" s="78"/>
      <c r="C21" s="78" t="s">
        <v>114</v>
      </c>
      <c r="D21" s="78"/>
      <c r="E21" s="78"/>
      <c r="F21" s="78"/>
      <c r="G21" s="119">
        <v>37305.94</v>
      </c>
      <c r="H21" s="119">
        <v>43605.170000000006</v>
      </c>
      <c r="I21" s="119">
        <v>45014.130000000005</v>
      </c>
      <c r="J21" s="120">
        <v>58623.810000000005</v>
      </c>
      <c r="K21" s="119">
        <v>43204.140000000007</v>
      </c>
      <c r="L21" s="119">
        <v>35299.460000000006</v>
      </c>
      <c r="M21" s="119">
        <v>39210.920000000006</v>
      </c>
      <c r="N21" s="120">
        <v>47005.91</v>
      </c>
      <c r="O21" s="119">
        <v>41439.090000000004</v>
      </c>
      <c r="P21" s="93">
        <v>504278</v>
      </c>
      <c r="Q21" s="93">
        <v>560156</v>
      </c>
      <c r="R21" s="121">
        <v>671513</v>
      </c>
      <c r="S21" s="78"/>
      <c r="T21" s="78"/>
      <c r="U21" s="78"/>
      <c r="V21" s="78"/>
      <c r="W21" s="78"/>
      <c r="X21" s="78"/>
      <c r="Y21" s="78"/>
      <c r="Z21" s="78"/>
    </row>
    <row r="22" spans="1:26" ht="12.75" customHeight="1" x14ac:dyDescent="0.2">
      <c r="A22" s="78"/>
      <c r="B22" s="78"/>
      <c r="C22" s="78" t="s">
        <v>115</v>
      </c>
      <c r="D22" s="78"/>
      <c r="E22" s="78"/>
      <c r="F22" s="78"/>
      <c r="G22" s="119">
        <v>90426.840000000011</v>
      </c>
      <c r="H22" s="119">
        <v>78791.37000000001</v>
      </c>
      <c r="I22" s="119">
        <v>98918.400000000009</v>
      </c>
      <c r="J22" s="120">
        <v>101454.57</v>
      </c>
      <c r="K22" s="119">
        <v>127198.19000000002</v>
      </c>
      <c r="L22" s="119">
        <v>111722.45000000001</v>
      </c>
      <c r="M22" s="119">
        <v>126248.85</v>
      </c>
      <c r="N22" s="120">
        <v>106025.50000000001</v>
      </c>
      <c r="O22" s="119">
        <v>120264.83000000002</v>
      </c>
      <c r="P22" s="93">
        <v>1596035</v>
      </c>
      <c r="Q22" s="93">
        <v>1803555</v>
      </c>
      <c r="R22" s="121">
        <v>1514650</v>
      </c>
      <c r="S22" s="78"/>
      <c r="T22" s="78"/>
      <c r="U22" s="78"/>
      <c r="V22" s="78"/>
      <c r="W22" s="78"/>
      <c r="X22" s="78"/>
      <c r="Y22" s="78"/>
      <c r="Z22" s="78"/>
    </row>
    <row r="23" spans="1:26" ht="12.75" customHeight="1" x14ac:dyDescent="0.2">
      <c r="A23" s="78"/>
      <c r="B23" s="78"/>
      <c r="C23" s="78" t="s">
        <v>116</v>
      </c>
      <c r="D23" s="78"/>
      <c r="E23" s="78"/>
      <c r="F23" s="78"/>
      <c r="G23" s="119">
        <v>79818.97</v>
      </c>
      <c r="H23" s="119">
        <v>83115.48000000001</v>
      </c>
      <c r="I23" s="119">
        <v>82784.240000000005</v>
      </c>
      <c r="J23" s="120">
        <v>84653.94</v>
      </c>
      <c r="K23" s="119">
        <v>86733.360000000015</v>
      </c>
      <c r="L23" s="119">
        <v>85732.010000000009</v>
      </c>
      <c r="M23" s="119">
        <v>82342.61</v>
      </c>
      <c r="N23" s="120">
        <v>88526.27</v>
      </c>
      <c r="O23" s="119">
        <v>88358.97</v>
      </c>
      <c r="P23" s="93">
        <v>1224743</v>
      </c>
      <c r="Q23" s="93">
        <v>1176323</v>
      </c>
      <c r="R23" s="121">
        <v>1264661</v>
      </c>
      <c r="S23" s="78"/>
      <c r="T23" s="78"/>
      <c r="U23" s="78"/>
      <c r="V23" s="78"/>
      <c r="W23" s="78"/>
      <c r="X23" s="78"/>
      <c r="Y23" s="78"/>
      <c r="Z23" s="78"/>
    </row>
    <row r="24" spans="1:26" ht="12.75" customHeight="1" x14ac:dyDescent="0.2">
      <c r="A24" s="78"/>
      <c r="B24" s="78"/>
      <c r="C24" s="78" t="s">
        <v>117</v>
      </c>
      <c r="D24" s="78"/>
      <c r="E24" s="78"/>
      <c r="F24" s="78"/>
      <c r="G24" s="122">
        <v>48915.16</v>
      </c>
      <c r="H24" s="122">
        <v>48938.960000000006</v>
      </c>
      <c r="I24" s="122">
        <v>48963.110000000008</v>
      </c>
      <c r="J24" s="123">
        <v>48987.610000000008</v>
      </c>
      <c r="K24" s="122">
        <v>0</v>
      </c>
      <c r="L24" s="122">
        <v>0</v>
      </c>
      <c r="M24" s="122">
        <v>0</v>
      </c>
      <c r="N24" s="123">
        <v>0</v>
      </c>
      <c r="O24" s="122">
        <v>27941.410000000003</v>
      </c>
      <c r="P24" s="129">
        <v>0</v>
      </c>
      <c r="Q24" s="129">
        <v>0</v>
      </c>
      <c r="R24" s="136">
        <v>0</v>
      </c>
      <c r="S24" s="78"/>
      <c r="T24" s="78"/>
      <c r="U24" s="78"/>
      <c r="V24" s="78"/>
      <c r="W24" s="78"/>
      <c r="X24" s="78"/>
      <c r="Y24" s="78"/>
      <c r="Z24" s="78"/>
    </row>
    <row r="25" spans="1:26" ht="12.75" customHeight="1" x14ac:dyDescent="0.2">
      <c r="A25" s="78"/>
      <c r="B25" s="78"/>
      <c r="C25" s="78"/>
      <c r="D25" s="78"/>
      <c r="E25" s="78"/>
      <c r="F25" s="78" t="s">
        <v>118</v>
      </c>
      <c r="G25" s="137">
        <f t="shared" ref="G25:R25" si="2">SUM(G20:G24)</f>
        <v>557323.90000000014</v>
      </c>
      <c r="H25" s="137">
        <f t="shared" si="2"/>
        <v>548302.16</v>
      </c>
      <c r="I25" s="137">
        <f t="shared" si="2"/>
        <v>563447.22000000009</v>
      </c>
      <c r="J25" s="138">
        <f t="shared" si="2"/>
        <v>594227.62</v>
      </c>
      <c r="K25" s="137">
        <f t="shared" si="2"/>
        <v>541775.92000000004</v>
      </c>
      <c r="L25" s="137">
        <f t="shared" si="2"/>
        <v>525001.54</v>
      </c>
      <c r="M25" s="137">
        <f t="shared" si="2"/>
        <v>543614.68000000005</v>
      </c>
      <c r="N25" s="138">
        <f t="shared" si="2"/>
        <v>555168.18000000005</v>
      </c>
      <c r="O25" s="137">
        <f t="shared" si="2"/>
        <v>582124.90000000014</v>
      </c>
      <c r="P25" s="119">
        <f t="shared" si="2"/>
        <v>7500022</v>
      </c>
      <c r="Q25" s="119">
        <f t="shared" si="2"/>
        <v>7765924</v>
      </c>
      <c r="R25" s="121">
        <f t="shared" si="2"/>
        <v>7930974</v>
      </c>
      <c r="S25" s="78"/>
      <c r="T25" s="78"/>
      <c r="U25" s="78"/>
      <c r="V25" s="78"/>
      <c r="W25" s="78"/>
      <c r="X25" s="78"/>
      <c r="Y25" s="78"/>
      <c r="Z25" s="78"/>
    </row>
    <row r="26" spans="1:26" ht="12.75" customHeight="1" x14ac:dyDescent="0.2">
      <c r="A26" s="128" t="s">
        <v>119</v>
      </c>
      <c r="B26" s="78"/>
      <c r="C26" s="78"/>
      <c r="D26" s="78"/>
      <c r="E26" s="78"/>
      <c r="F26" s="78"/>
      <c r="G26" s="115">
        <v>172593.82</v>
      </c>
      <c r="H26" s="115">
        <v>158570.02000000002</v>
      </c>
      <c r="I26" s="115">
        <v>161071.82</v>
      </c>
      <c r="J26" s="116">
        <v>216594.91000000003</v>
      </c>
      <c r="K26" s="119">
        <v>206165.47000000003</v>
      </c>
      <c r="L26" s="119">
        <v>209297.27000000002</v>
      </c>
      <c r="M26" s="119">
        <v>206875.76</v>
      </c>
      <c r="N26" s="116">
        <v>215689.39</v>
      </c>
      <c r="O26" s="119">
        <v>203562.03000000003</v>
      </c>
      <c r="P26" s="119">
        <v>2989961</v>
      </c>
      <c r="Q26" s="119">
        <v>2955368</v>
      </c>
      <c r="R26" s="121">
        <v>3081277</v>
      </c>
      <c r="S26" s="78"/>
      <c r="T26" s="78"/>
      <c r="U26" s="78"/>
      <c r="V26" s="78"/>
      <c r="W26" s="78"/>
      <c r="X26" s="78"/>
      <c r="Y26" s="78"/>
      <c r="Z26" s="78"/>
    </row>
    <row r="27" spans="1:26" ht="12.75" customHeight="1" x14ac:dyDescent="0.2">
      <c r="A27" s="78" t="s">
        <v>120</v>
      </c>
      <c r="B27" s="78"/>
      <c r="C27" s="78"/>
      <c r="D27" s="78"/>
      <c r="E27" s="78"/>
      <c r="F27" s="78"/>
      <c r="G27" s="119">
        <v>1040238.6400000001</v>
      </c>
      <c r="H27" s="119">
        <v>1044882.2300000001</v>
      </c>
      <c r="I27" s="119">
        <v>1035558.3700000001</v>
      </c>
      <c r="J27" s="120">
        <v>1028515.0400000002</v>
      </c>
      <c r="K27" s="119">
        <v>1017419.2700000001</v>
      </c>
      <c r="L27" s="119">
        <v>996331.21000000008</v>
      </c>
      <c r="M27" s="119">
        <v>972168.19000000006</v>
      </c>
      <c r="N27" s="120">
        <v>1004715.3200000001</v>
      </c>
      <c r="O27" s="119">
        <v>982657.55</v>
      </c>
      <c r="P27" s="119">
        <v>14233303</v>
      </c>
      <c r="Q27" s="119">
        <v>13888117</v>
      </c>
      <c r="R27" s="121">
        <v>14353076</v>
      </c>
      <c r="S27" s="78"/>
      <c r="T27" s="78"/>
      <c r="U27" s="78"/>
      <c r="V27" s="78"/>
      <c r="W27" s="78"/>
      <c r="X27" s="78"/>
      <c r="Y27" s="78"/>
      <c r="Z27" s="78"/>
    </row>
    <row r="28" spans="1:26" ht="12.75" customHeight="1" x14ac:dyDescent="0.2">
      <c r="A28" s="78" t="s">
        <v>121</v>
      </c>
      <c r="B28" s="78"/>
      <c r="C28" s="78"/>
      <c r="D28" s="78"/>
      <c r="E28" s="78"/>
      <c r="F28" s="78"/>
      <c r="G28" s="122">
        <v>136569.02000000002</v>
      </c>
      <c r="H28" s="122">
        <v>145742.45000000001</v>
      </c>
      <c r="I28" s="122">
        <v>159689.39000000001</v>
      </c>
      <c r="J28" s="123">
        <v>172141.48</v>
      </c>
      <c r="K28" s="122">
        <v>179719.89</v>
      </c>
      <c r="L28" s="122">
        <v>178617.25000000003</v>
      </c>
      <c r="M28" s="122">
        <v>169724.59000000003</v>
      </c>
      <c r="N28" s="123">
        <v>171642.80000000002</v>
      </c>
      <c r="O28" s="122">
        <v>168005.95</v>
      </c>
      <c r="P28" s="122">
        <v>2551675</v>
      </c>
      <c r="Q28" s="122">
        <v>2424637</v>
      </c>
      <c r="R28" s="136">
        <v>2452040</v>
      </c>
      <c r="S28" s="78"/>
      <c r="T28" s="78"/>
      <c r="U28" s="78"/>
      <c r="V28" s="78"/>
      <c r="W28" s="78"/>
      <c r="X28" s="78"/>
      <c r="Y28" s="78"/>
      <c r="Z28" s="78"/>
    </row>
    <row r="29" spans="1:26" ht="12.75" customHeight="1" x14ac:dyDescent="0.2">
      <c r="A29" s="78"/>
      <c r="B29" s="78"/>
      <c r="C29" s="78"/>
      <c r="D29" s="78"/>
      <c r="E29" s="78"/>
      <c r="F29" s="78" t="s">
        <v>122</v>
      </c>
      <c r="G29" s="124">
        <f t="shared" ref="G29:O29" si="3">SUM(G25:G28)</f>
        <v>1906725.3800000004</v>
      </c>
      <c r="H29" s="124">
        <f t="shared" si="3"/>
        <v>1897496.86</v>
      </c>
      <c r="I29" s="124">
        <f t="shared" si="3"/>
        <v>1919766.8000000003</v>
      </c>
      <c r="J29" s="125">
        <f t="shared" si="3"/>
        <v>2011479.0500000003</v>
      </c>
      <c r="K29" s="124">
        <f t="shared" si="3"/>
        <v>1945080.5500000003</v>
      </c>
      <c r="L29" s="124">
        <f t="shared" si="3"/>
        <v>1909247.27</v>
      </c>
      <c r="M29" s="124">
        <f t="shared" si="3"/>
        <v>1892383.2200000002</v>
      </c>
      <c r="N29" s="125">
        <f t="shared" si="3"/>
        <v>1947215.6900000002</v>
      </c>
      <c r="O29" s="124">
        <f t="shared" si="3"/>
        <v>1936350.4300000002</v>
      </c>
      <c r="P29" s="119">
        <v>27274961</v>
      </c>
      <c r="Q29" s="119">
        <v>27034046</v>
      </c>
      <c r="R29" s="121">
        <f>SUM(R25:R28)</f>
        <v>27817367</v>
      </c>
      <c r="S29" s="78"/>
      <c r="T29" s="78"/>
      <c r="U29" s="78"/>
      <c r="V29" s="78"/>
      <c r="W29" s="78"/>
      <c r="X29" s="78"/>
      <c r="Y29" s="78"/>
      <c r="Z29" s="78"/>
    </row>
    <row r="30" spans="1:26" ht="12.75" customHeight="1" x14ac:dyDescent="0.2">
      <c r="A30" s="78" t="s">
        <v>123</v>
      </c>
      <c r="B30" s="78"/>
      <c r="C30" s="78"/>
      <c r="D30" s="78"/>
      <c r="E30" s="78"/>
      <c r="F30" s="78"/>
      <c r="G30" s="119"/>
      <c r="H30" s="119"/>
      <c r="I30" s="119"/>
      <c r="J30" s="120"/>
      <c r="K30" s="119"/>
      <c r="L30" s="119"/>
      <c r="M30" s="119"/>
      <c r="N30" s="120"/>
      <c r="O30" s="119"/>
      <c r="P30" s="119"/>
      <c r="Q30" s="119"/>
      <c r="R30" s="121"/>
      <c r="S30" s="78"/>
      <c r="T30" s="78"/>
      <c r="U30" s="78"/>
      <c r="V30" s="78"/>
      <c r="W30" s="78"/>
      <c r="X30" s="78"/>
      <c r="Y30" s="78"/>
      <c r="Z30" s="78"/>
    </row>
    <row r="31" spans="1:26" ht="12.75" customHeight="1" x14ac:dyDescent="0.2">
      <c r="A31" s="78"/>
      <c r="B31" s="78" t="s">
        <v>124</v>
      </c>
      <c r="C31" s="139"/>
      <c r="D31" s="139"/>
      <c r="E31" s="139"/>
      <c r="F31" s="139"/>
      <c r="G31" s="115">
        <v>252005.88000000003</v>
      </c>
      <c r="H31" s="115">
        <v>260487.22000000003</v>
      </c>
      <c r="I31" s="115">
        <v>269677.17000000004</v>
      </c>
      <c r="J31" s="116">
        <v>281719.27</v>
      </c>
      <c r="K31" s="115">
        <v>290890.60000000003</v>
      </c>
      <c r="L31" s="115">
        <v>302180.90000000002</v>
      </c>
      <c r="M31" s="115">
        <v>313177.34000000003</v>
      </c>
      <c r="N31" s="116">
        <v>324632.07</v>
      </c>
      <c r="O31" s="115">
        <v>333367.65000000002</v>
      </c>
      <c r="P31" s="119">
        <v>4316870</v>
      </c>
      <c r="Q31" s="119">
        <v>4473962</v>
      </c>
      <c r="R31" s="121">
        <v>4637601</v>
      </c>
      <c r="S31" s="78"/>
      <c r="T31" s="78"/>
      <c r="U31" s="78"/>
      <c r="V31" s="78"/>
      <c r="W31" s="78"/>
      <c r="X31" s="78"/>
      <c r="Y31" s="78"/>
      <c r="Z31" s="78"/>
    </row>
    <row r="32" spans="1:26" ht="12.75" customHeight="1" x14ac:dyDescent="0.2">
      <c r="A32" s="78"/>
      <c r="B32" s="78" t="s">
        <v>125</v>
      </c>
      <c r="C32" s="139"/>
      <c r="D32" s="139"/>
      <c r="E32" s="139"/>
      <c r="F32" s="139"/>
      <c r="G32" s="119">
        <v>0</v>
      </c>
      <c r="H32" s="119">
        <v>-35001.54</v>
      </c>
      <c r="I32" s="119">
        <v>-42001.54</v>
      </c>
      <c r="J32" s="120">
        <v>-57693.3</v>
      </c>
      <c r="K32" s="119">
        <v>-57693.3</v>
      </c>
      <c r="L32" s="119">
        <v>-57693.3</v>
      </c>
      <c r="M32" s="119">
        <v>-57693.3</v>
      </c>
      <c r="N32" s="120">
        <v>-57693.3</v>
      </c>
      <c r="O32" s="119">
        <v>-86024.400000000009</v>
      </c>
      <c r="P32" s="119">
        <v>-824190</v>
      </c>
      <c r="Q32" s="119">
        <v>-824190</v>
      </c>
      <c r="R32" s="121">
        <v>-824190</v>
      </c>
      <c r="S32" s="78"/>
      <c r="T32" s="78"/>
      <c r="U32" s="78"/>
      <c r="V32" s="78"/>
      <c r="W32" s="78"/>
      <c r="X32" s="78"/>
      <c r="Y32" s="78"/>
      <c r="Z32" s="78"/>
    </row>
    <row r="33" spans="1:26" ht="12.75" customHeight="1" x14ac:dyDescent="0.2">
      <c r="A33" s="78"/>
      <c r="B33" s="78" t="s">
        <v>126</v>
      </c>
      <c r="C33" s="78"/>
      <c r="D33" s="78"/>
      <c r="E33" s="78"/>
      <c r="F33" s="78"/>
      <c r="G33" s="119">
        <v>289.59000000000003</v>
      </c>
      <c r="H33" s="119">
        <v>684.25000000000011</v>
      </c>
      <c r="I33" s="119">
        <v>-1388.45</v>
      </c>
      <c r="J33" s="120">
        <v>-2834.65</v>
      </c>
      <c r="K33" s="119">
        <v>-5191.9000000000005</v>
      </c>
      <c r="L33" s="119">
        <v>-10113.320000000002</v>
      </c>
      <c r="M33" s="119">
        <v>-17335.010000000002</v>
      </c>
      <c r="N33" s="120">
        <v>-15211.420000000002</v>
      </c>
      <c r="O33" s="119">
        <v>-13418.650000000001</v>
      </c>
      <c r="P33" s="119">
        <v>-144476</v>
      </c>
      <c r="Q33" s="119">
        <v>-247643</v>
      </c>
      <c r="R33" s="121">
        <v>-217306</v>
      </c>
      <c r="S33" s="78"/>
      <c r="T33" s="78"/>
      <c r="U33" s="78"/>
      <c r="V33" s="78"/>
      <c r="W33" s="78"/>
      <c r="X33" s="78"/>
      <c r="Y33" s="78"/>
      <c r="Z33" s="78"/>
    </row>
    <row r="34" spans="1:26" ht="12.75" customHeight="1" x14ac:dyDescent="0.2">
      <c r="A34" s="78"/>
      <c r="B34" s="78" t="s">
        <v>127</v>
      </c>
      <c r="C34" s="78"/>
      <c r="D34" s="78"/>
      <c r="E34" s="78"/>
      <c r="F34" s="78"/>
      <c r="G34" s="119">
        <v>649590.13</v>
      </c>
      <c r="H34" s="119">
        <v>744301.04</v>
      </c>
      <c r="I34" s="119">
        <v>845736.01000000013</v>
      </c>
      <c r="J34" s="120">
        <v>888256.04</v>
      </c>
      <c r="K34" s="119">
        <v>1000077.3300000001</v>
      </c>
      <c r="L34" s="119">
        <v>1100943.9000000001</v>
      </c>
      <c r="M34" s="119">
        <v>1198820.8400000001</v>
      </c>
      <c r="N34" s="120">
        <v>1202690.7200000002</v>
      </c>
      <c r="O34" s="119">
        <v>1294049.1200000001</v>
      </c>
      <c r="P34" s="122">
        <v>15727770</v>
      </c>
      <c r="Q34" s="122">
        <v>17126012</v>
      </c>
      <c r="R34" s="136">
        <v>17181296</v>
      </c>
      <c r="S34" s="78"/>
      <c r="T34" s="78"/>
      <c r="U34" s="78"/>
      <c r="V34" s="78"/>
      <c r="W34" s="78"/>
      <c r="X34" s="78"/>
      <c r="Y34" s="78"/>
      <c r="Z34" s="78"/>
    </row>
    <row r="35" spans="1:26" ht="13.5" customHeight="1" x14ac:dyDescent="0.2">
      <c r="A35" s="78"/>
      <c r="B35" s="78"/>
      <c r="C35" s="78"/>
      <c r="D35" s="78"/>
      <c r="E35" s="78"/>
      <c r="F35" s="78" t="s">
        <v>128</v>
      </c>
      <c r="G35" s="122">
        <f t="shared" ref="G35:R35" si="4">SUM(G31:G34)</f>
        <v>901885.60000000009</v>
      </c>
      <c r="H35" s="122">
        <f t="shared" si="4"/>
        <v>970470.97000000009</v>
      </c>
      <c r="I35" s="122">
        <f t="shared" si="4"/>
        <v>1072023.1900000002</v>
      </c>
      <c r="J35" s="123">
        <f t="shared" si="4"/>
        <v>1109447.3600000001</v>
      </c>
      <c r="K35" s="122">
        <f t="shared" si="4"/>
        <v>1228082.7300000002</v>
      </c>
      <c r="L35" s="122">
        <f t="shared" si="4"/>
        <v>1335318.1800000002</v>
      </c>
      <c r="M35" s="122">
        <f t="shared" si="4"/>
        <v>1436969.87</v>
      </c>
      <c r="N35" s="123">
        <f t="shared" si="4"/>
        <v>1454418.0700000003</v>
      </c>
      <c r="O35" s="122">
        <f t="shared" si="4"/>
        <v>1527973.7200000002</v>
      </c>
      <c r="P35" s="119">
        <f t="shared" si="4"/>
        <v>19075974</v>
      </c>
      <c r="Q35" s="119">
        <f t="shared" si="4"/>
        <v>20528141</v>
      </c>
      <c r="R35" s="121">
        <f t="shared" si="4"/>
        <v>20777401</v>
      </c>
      <c r="S35" s="78"/>
      <c r="T35" s="78"/>
      <c r="U35" s="78"/>
      <c r="V35" s="78"/>
      <c r="W35" s="78"/>
      <c r="X35" s="78"/>
      <c r="Y35" s="78"/>
      <c r="Z35" s="78"/>
    </row>
    <row r="36" spans="1:26" ht="12.75" customHeight="1" x14ac:dyDescent="0.2">
      <c r="A36" s="109"/>
      <c r="B36" s="109"/>
      <c r="C36" s="109"/>
      <c r="D36" s="109"/>
      <c r="E36" s="109"/>
      <c r="F36" s="109" t="s">
        <v>129</v>
      </c>
      <c r="G36" s="130">
        <f t="shared" ref="G36:R36" si="5">G29+G35</f>
        <v>2808610.9800000004</v>
      </c>
      <c r="H36" s="130">
        <f t="shared" si="5"/>
        <v>2867967.83</v>
      </c>
      <c r="I36" s="130">
        <f t="shared" si="5"/>
        <v>2991789.99</v>
      </c>
      <c r="J36" s="131">
        <f t="shared" si="5"/>
        <v>3120926.41</v>
      </c>
      <c r="K36" s="130">
        <f t="shared" si="5"/>
        <v>3173163.2800000003</v>
      </c>
      <c r="L36" s="130">
        <f t="shared" si="5"/>
        <v>3244565.45</v>
      </c>
      <c r="M36" s="130">
        <f t="shared" si="5"/>
        <v>3329353.0900000003</v>
      </c>
      <c r="N36" s="131">
        <f t="shared" si="5"/>
        <v>3401633.7600000007</v>
      </c>
      <c r="O36" s="130">
        <f t="shared" si="5"/>
        <v>3464324.1500000004</v>
      </c>
      <c r="P36" s="130">
        <f t="shared" si="5"/>
        <v>46350935</v>
      </c>
      <c r="Q36" s="130">
        <f t="shared" si="5"/>
        <v>47562187</v>
      </c>
      <c r="R36" s="132">
        <f t="shared" si="5"/>
        <v>48594768</v>
      </c>
      <c r="S36" s="109"/>
      <c r="T36" s="109"/>
      <c r="U36" s="109"/>
      <c r="V36" s="109"/>
      <c r="W36" s="109"/>
      <c r="X36" s="109"/>
      <c r="Y36" s="109"/>
      <c r="Z36" s="109"/>
    </row>
    <row r="37" spans="1:26" ht="12.75" customHeight="1" x14ac:dyDescent="0.2">
      <c r="A37" s="109"/>
      <c r="B37" s="109"/>
      <c r="C37" s="109"/>
      <c r="D37" s="109"/>
      <c r="E37" s="109"/>
      <c r="F37" s="109"/>
      <c r="G37" s="140"/>
      <c r="H37" s="140"/>
      <c r="I37" s="140"/>
      <c r="J37" s="140"/>
      <c r="K37" s="140"/>
      <c r="L37" s="140"/>
      <c r="M37" s="140"/>
      <c r="N37" s="140"/>
      <c r="O37" s="140"/>
      <c r="P37" s="140"/>
      <c r="Q37" s="140"/>
      <c r="R37" s="140"/>
      <c r="S37" s="109"/>
      <c r="T37" s="109"/>
      <c r="U37" s="109"/>
      <c r="V37" s="109"/>
      <c r="W37" s="109"/>
      <c r="X37" s="109"/>
      <c r="Y37" s="109"/>
      <c r="Z37" s="109"/>
    </row>
    <row r="38" spans="1:26" ht="12.75" customHeight="1" x14ac:dyDescent="0.2">
      <c r="A38" s="78"/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 spans="1:26" ht="12.75" customHeight="1" x14ac:dyDescent="0.2">
      <c r="A39" s="78"/>
      <c r="B39" s="78"/>
      <c r="C39" s="78"/>
      <c r="D39" s="78"/>
      <c r="E39" s="78"/>
      <c r="F39" s="141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 spans="1:26" ht="12.75" customHeight="1" x14ac:dyDescent="0.2">
      <c r="A40" s="78"/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 spans="1:26" ht="12.75" customHeight="1" x14ac:dyDescent="0.2">
      <c r="A41" s="78"/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</row>
    <row r="42" spans="1:26" ht="12.75" customHeight="1" x14ac:dyDescent="0.2">
      <c r="A42" s="78"/>
      <c r="B42" s="78"/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 spans="1:26" ht="12.75" customHeight="1" x14ac:dyDescent="0.2">
      <c r="A43" s="78"/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 spans="1:26" ht="12.75" customHeight="1" x14ac:dyDescent="0.2">
      <c r="A44" s="109"/>
      <c r="B44" s="109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 spans="1:26" ht="12.75" customHeight="1" x14ac:dyDescent="0.2">
      <c r="A45" s="78"/>
      <c r="B45" s="78"/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</row>
    <row r="46" spans="1:26" ht="12.75" customHeight="1" x14ac:dyDescent="0.2">
      <c r="A46" s="109"/>
      <c r="B46" s="109"/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 spans="1:26" ht="12.75" customHeight="1" x14ac:dyDescent="0.2">
      <c r="A47" s="78"/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 spans="1:26" ht="12.75" customHeight="1" x14ac:dyDescent="0.2">
      <c r="A48" s="78"/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 spans="1:26" ht="12.75" customHeight="1" x14ac:dyDescent="0.2">
      <c r="A49" s="78"/>
      <c r="B49" s="109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 spans="1:26" ht="12.75" customHeight="1" x14ac:dyDescent="0.2">
      <c r="A50" s="78"/>
      <c r="B50" s="78"/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</row>
    <row r="51" spans="1:26" ht="12.75" customHeight="1" x14ac:dyDescent="0.2">
      <c r="A51" s="78"/>
      <c r="B51" s="78"/>
      <c r="C51" s="78"/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 spans="1:26" ht="12.75" customHeight="1" x14ac:dyDescent="0.2">
      <c r="A52" s="78"/>
      <c r="B52" s="78"/>
      <c r="C52" s="78"/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 spans="1:26" ht="12.75" customHeight="1" x14ac:dyDescent="0.2">
      <c r="A53" s="78"/>
      <c r="B53" s="78"/>
      <c r="C53" s="78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 spans="1:26" ht="12.75" customHeight="1" x14ac:dyDescent="0.2">
      <c r="A54" s="78"/>
      <c r="B54" s="78"/>
      <c r="C54" s="78"/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 spans="1:26" ht="12.75" customHeight="1" x14ac:dyDescent="0.2">
      <c r="A55" s="78"/>
      <c r="B55" s="78"/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spans="1:26" ht="12.75" customHeight="1" x14ac:dyDescent="0.2">
      <c r="A56" s="78"/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 spans="1:26" ht="12.75" customHeight="1" x14ac:dyDescent="0.2">
      <c r="A57" s="78"/>
      <c r="B57" s="78"/>
      <c r="C57" s="78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 spans="1:26" ht="12.75" customHeight="1" x14ac:dyDescent="0.2">
      <c r="A58" s="78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 spans="1:26" ht="12.75" customHeight="1" x14ac:dyDescent="0.2">
      <c r="A59" s="78"/>
      <c r="B59" s="78"/>
      <c r="C59" s="78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 spans="1:26" ht="12.75" customHeight="1" x14ac:dyDescent="0.2">
      <c r="A60" s="78"/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</row>
    <row r="61" spans="1:26" ht="12.75" customHeight="1" x14ac:dyDescent="0.2">
      <c r="A61" s="78"/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 spans="1:26" ht="12.75" customHeight="1" x14ac:dyDescent="0.2">
      <c r="A62" s="78"/>
      <c r="B62" s="78"/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 spans="1:26" ht="12.75" customHeight="1" x14ac:dyDescent="0.2">
      <c r="A63" s="78"/>
      <c r="B63" s="78"/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 spans="1:26" ht="12.75" customHeight="1" x14ac:dyDescent="0.2">
      <c r="A64" s="78"/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</row>
    <row r="65" spans="1:26" ht="12.75" customHeight="1" x14ac:dyDescent="0.2">
      <c r="A65" s="78"/>
      <c r="B65" s="78"/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 spans="1:26" ht="12.75" customHeight="1" x14ac:dyDescent="0.2">
      <c r="A66" s="78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 spans="1:26" ht="12.75" customHeight="1" x14ac:dyDescent="0.2">
      <c r="A67" s="78"/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 spans="1:26" ht="12.75" customHeight="1" x14ac:dyDescent="0.2">
      <c r="A68" s="78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</row>
    <row r="69" spans="1:26" ht="12.75" customHeight="1" x14ac:dyDescent="0.2">
      <c r="A69" s="78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 spans="1:26" ht="12.75" customHeight="1" x14ac:dyDescent="0.2">
      <c r="A70" s="78"/>
      <c r="B70" s="78"/>
      <c r="C70" s="78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 spans="1:26" ht="12.75" customHeight="1" x14ac:dyDescent="0.2">
      <c r="A71" s="78"/>
      <c r="B71" s="78"/>
      <c r="C71" s="7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 spans="1:26" ht="12.75" customHeight="1" x14ac:dyDescent="0.2">
      <c r="A72" s="78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 spans="1:26" ht="12.75" customHeight="1" x14ac:dyDescent="0.2">
      <c r="A73" s="78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</row>
    <row r="74" spans="1:26" ht="12.75" customHeight="1" x14ac:dyDescent="0.2">
      <c r="A74" s="78"/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 spans="1:26" ht="12.75" customHeight="1" x14ac:dyDescent="0.2">
      <c r="A75" s="78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 spans="1:26" ht="12.75" customHeight="1" x14ac:dyDescent="0.2">
      <c r="A76" s="78"/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 spans="1:26" ht="12.75" customHeight="1" x14ac:dyDescent="0.2">
      <c r="A77" s="78"/>
      <c r="B77" s="78"/>
      <c r="C77" s="78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 spans="1:26" ht="12.75" customHeight="1" x14ac:dyDescent="0.2">
      <c r="A78" s="78"/>
      <c r="B78" s="78"/>
      <c r="C78" s="78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</row>
    <row r="79" spans="1:26" ht="12.75" customHeight="1" x14ac:dyDescent="0.2">
      <c r="A79" s="78"/>
      <c r="B79" s="78"/>
      <c r="C79" s="78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 spans="1:26" ht="12.75" customHeight="1" x14ac:dyDescent="0.2">
      <c r="A80" s="78"/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 spans="1:26" ht="12.75" customHeight="1" x14ac:dyDescent="0.2">
      <c r="A81" s="78"/>
      <c r="B81" s="78"/>
      <c r="C81" s="78"/>
      <c r="D81" s="78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 spans="1:26" ht="12.75" customHeight="1" x14ac:dyDescent="0.2">
      <c r="A82" s="78"/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 spans="1:26" ht="12.75" customHeight="1" x14ac:dyDescent="0.2">
      <c r="A83" s="78"/>
      <c r="B83" s="78"/>
      <c r="C83" s="78"/>
      <c r="D83" s="78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</row>
    <row r="84" spans="1:26" ht="12.75" customHeight="1" x14ac:dyDescent="0.2">
      <c r="A84" s="78"/>
      <c r="B84" s="78"/>
      <c r="C84" s="78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 spans="1:26" ht="12.75" customHeight="1" x14ac:dyDescent="0.2">
      <c r="A85" s="78"/>
      <c r="B85" s="78"/>
      <c r="C85" s="78"/>
      <c r="D85" s="78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 spans="1:26" ht="12.75" customHeight="1" x14ac:dyDescent="0.2">
      <c r="A86" s="78"/>
      <c r="B86" s="78"/>
      <c r="C86" s="78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 spans="1:26" ht="12.75" customHeight="1" x14ac:dyDescent="0.2">
      <c r="A87" s="78"/>
      <c r="B87" s="78"/>
      <c r="C87" s="78"/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</row>
    <row r="88" spans="1:26" ht="12.75" customHeight="1" x14ac:dyDescent="0.2">
      <c r="A88" s="78"/>
      <c r="B88" s="78"/>
      <c r="C88" s="7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 spans="1:26" ht="12.75" customHeight="1" x14ac:dyDescent="0.2">
      <c r="A89" s="78"/>
      <c r="B89" s="78"/>
      <c r="C89" s="78"/>
      <c r="D89" s="78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 spans="1:26" ht="12.75" customHeight="1" x14ac:dyDescent="0.2">
      <c r="A90" s="78"/>
      <c r="B90" s="78"/>
      <c r="C90" s="78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</row>
    <row r="91" spans="1:26" ht="12.75" customHeight="1" x14ac:dyDescent="0.2">
      <c r="A91" s="78"/>
      <c r="B91" s="78"/>
      <c r="C91" s="78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</row>
    <row r="92" spans="1:26" ht="12.75" customHeight="1" x14ac:dyDescent="0.2">
      <c r="A92" s="78"/>
      <c r="B92" s="78"/>
      <c r="C92" s="78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</row>
    <row r="93" spans="1:26" ht="12.75" customHeight="1" x14ac:dyDescent="0.2">
      <c r="A93" s="78"/>
      <c r="B93" s="78"/>
      <c r="C93" s="78"/>
      <c r="D93" s="78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</row>
    <row r="94" spans="1:26" ht="12.75" customHeight="1" x14ac:dyDescent="0.2">
      <c r="A94" s="78"/>
      <c r="B94" s="78"/>
      <c r="C94" s="78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</row>
    <row r="95" spans="1:26" ht="12.75" customHeight="1" x14ac:dyDescent="0.2">
      <c r="A95" s="78"/>
      <c r="B95" s="78"/>
      <c r="C95" s="78"/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</row>
    <row r="96" spans="1:26" ht="12.75" customHeight="1" x14ac:dyDescent="0.2">
      <c r="A96" s="78"/>
      <c r="B96" s="78"/>
      <c r="C96" s="78"/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</row>
    <row r="97" spans="1:26" ht="12.75" customHeight="1" x14ac:dyDescent="0.2">
      <c r="A97" s="78"/>
      <c r="B97" s="78"/>
      <c r="C97" s="78"/>
      <c r="D97" s="78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</row>
    <row r="98" spans="1:26" ht="12.75" customHeight="1" x14ac:dyDescent="0.2">
      <c r="A98" s="78"/>
      <c r="B98" s="78"/>
      <c r="C98" s="7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</row>
    <row r="99" spans="1:26" ht="12.75" customHeight="1" x14ac:dyDescent="0.2">
      <c r="A99" s="78"/>
      <c r="B99" s="78"/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</row>
    <row r="100" spans="1:26" ht="12.75" customHeight="1" x14ac:dyDescent="0.2">
      <c r="A100" s="78"/>
      <c r="B100" s="78"/>
      <c r="C100" s="7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</row>
    <row r="101" spans="1:26" ht="12.75" customHeight="1" x14ac:dyDescent="0.2">
      <c r="A101" s="78"/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</row>
    <row r="102" spans="1:26" ht="12.75" customHeight="1" x14ac:dyDescent="0.2">
      <c r="A102" s="78"/>
      <c r="B102" s="78"/>
      <c r="C102" s="7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</row>
    <row r="103" spans="1:26" ht="12.75" customHeight="1" x14ac:dyDescent="0.2">
      <c r="A103" s="78"/>
      <c r="B103" s="78"/>
      <c r="C103" s="78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</row>
    <row r="104" spans="1:26" ht="12.75" customHeight="1" x14ac:dyDescent="0.2">
      <c r="A104" s="78"/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</row>
    <row r="105" spans="1:26" ht="12.75" customHeight="1" x14ac:dyDescent="0.2">
      <c r="A105" s="78"/>
      <c r="B105" s="78"/>
      <c r="C105" s="78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</row>
    <row r="106" spans="1:26" ht="12.75" customHeight="1" x14ac:dyDescent="0.2">
      <c r="A106" s="78"/>
      <c r="B106" s="78"/>
      <c r="C106" s="78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</row>
    <row r="107" spans="1:26" ht="12.75" customHeight="1" x14ac:dyDescent="0.2">
      <c r="A107" s="78"/>
      <c r="B107" s="78"/>
      <c r="C107" s="7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</row>
    <row r="108" spans="1:26" ht="12.75" customHeight="1" x14ac:dyDescent="0.2">
      <c r="A108" s="78"/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</row>
    <row r="109" spans="1:26" ht="12.75" customHeight="1" x14ac:dyDescent="0.2">
      <c r="A109" s="78"/>
      <c r="B109" s="78"/>
      <c r="C109" s="78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</row>
    <row r="110" spans="1:26" ht="12.75" customHeight="1" x14ac:dyDescent="0.2">
      <c r="A110" s="78"/>
      <c r="B110" s="78"/>
      <c r="C110" s="78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</row>
    <row r="111" spans="1:26" ht="12.75" customHeight="1" x14ac:dyDescent="0.2">
      <c r="A111" s="78"/>
      <c r="B111" s="78"/>
      <c r="C111" s="7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</row>
    <row r="112" spans="1:26" ht="12.75" customHeight="1" x14ac:dyDescent="0.2">
      <c r="A112" s="78"/>
      <c r="B112" s="78"/>
      <c r="C112" s="78"/>
      <c r="D112" s="78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</row>
    <row r="113" spans="1:26" ht="12.75" customHeight="1" x14ac:dyDescent="0.2">
      <c r="A113" s="78"/>
      <c r="B113" s="78"/>
      <c r="C113" s="78"/>
      <c r="D113" s="78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</row>
    <row r="114" spans="1:26" ht="12.75" customHeight="1" x14ac:dyDescent="0.2">
      <c r="A114" s="78"/>
      <c r="B114" s="78"/>
      <c r="C114" s="78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</row>
    <row r="115" spans="1:26" ht="12.75" customHeight="1" x14ac:dyDescent="0.2">
      <c r="A115" s="78"/>
      <c r="B115" s="78"/>
      <c r="C115" s="78"/>
      <c r="D115" s="78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</row>
    <row r="116" spans="1:26" ht="12.75" customHeight="1" x14ac:dyDescent="0.2">
      <c r="A116" s="78"/>
      <c r="B116" s="78"/>
      <c r="C116" s="78"/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</row>
    <row r="117" spans="1:26" ht="12.75" customHeight="1" x14ac:dyDescent="0.2">
      <c r="A117" s="78"/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</row>
    <row r="118" spans="1:26" ht="12.75" customHeight="1" x14ac:dyDescent="0.2">
      <c r="A118" s="78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</row>
    <row r="119" spans="1:26" ht="12.75" customHeight="1" x14ac:dyDescent="0.2">
      <c r="A119" s="78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</row>
    <row r="120" spans="1:26" ht="12.75" customHeight="1" x14ac:dyDescent="0.2">
      <c r="A120" s="78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</row>
    <row r="121" spans="1:26" ht="12.75" customHeight="1" x14ac:dyDescent="0.2">
      <c r="A121" s="78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</row>
    <row r="122" spans="1:26" ht="12.75" customHeight="1" x14ac:dyDescent="0.2">
      <c r="A122" s="78"/>
      <c r="B122" s="78"/>
      <c r="C122" s="78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</row>
    <row r="123" spans="1:26" ht="12.75" customHeight="1" x14ac:dyDescent="0.2">
      <c r="A123" s="78"/>
      <c r="B123" s="78"/>
      <c r="C123" s="78"/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</row>
    <row r="124" spans="1:26" ht="12.75" customHeight="1" x14ac:dyDescent="0.2">
      <c r="A124" s="78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</row>
    <row r="125" spans="1:26" ht="12.75" customHeight="1" x14ac:dyDescent="0.2">
      <c r="A125" s="78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</row>
    <row r="126" spans="1:26" ht="12.75" customHeight="1" x14ac:dyDescent="0.2">
      <c r="A126" s="78"/>
      <c r="B126" s="78"/>
      <c r="C126" s="78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</row>
    <row r="127" spans="1:26" ht="12.75" customHeight="1" x14ac:dyDescent="0.2">
      <c r="A127" s="78"/>
      <c r="B127" s="78"/>
      <c r="C127" s="78"/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</row>
    <row r="128" spans="1:26" ht="12.75" customHeight="1" x14ac:dyDescent="0.2">
      <c r="A128" s="78"/>
      <c r="B128" s="78"/>
      <c r="C128" s="78"/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</row>
    <row r="129" spans="1:26" ht="12.75" customHeight="1" x14ac:dyDescent="0.2">
      <c r="A129" s="78"/>
      <c r="B129" s="78"/>
      <c r="C129" s="78"/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</row>
    <row r="130" spans="1:26" ht="12.75" customHeight="1" x14ac:dyDescent="0.2">
      <c r="A130" s="78"/>
      <c r="B130" s="78"/>
      <c r="C130" s="78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</row>
    <row r="131" spans="1:26" ht="12.75" customHeight="1" x14ac:dyDescent="0.2">
      <c r="A131" s="78"/>
      <c r="B131" s="78"/>
      <c r="C131" s="78"/>
      <c r="D131" s="78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</row>
    <row r="132" spans="1:26" ht="12.75" customHeight="1" x14ac:dyDescent="0.2">
      <c r="A132" s="78"/>
      <c r="B132" s="78"/>
      <c r="C132" s="78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</row>
    <row r="133" spans="1:26" ht="12.75" customHeight="1" x14ac:dyDescent="0.2">
      <c r="A133" s="78"/>
      <c r="B133" s="78"/>
      <c r="C133" s="78"/>
      <c r="D133" s="78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</row>
    <row r="134" spans="1:26" ht="12.75" customHeight="1" x14ac:dyDescent="0.2">
      <c r="A134" s="78"/>
      <c r="B134" s="78"/>
      <c r="C134" s="78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</row>
    <row r="135" spans="1:26" ht="12.75" customHeight="1" x14ac:dyDescent="0.2">
      <c r="A135" s="78"/>
      <c r="B135" s="78"/>
      <c r="C135" s="78"/>
      <c r="D135" s="78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</row>
    <row r="136" spans="1:26" ht="12.75" customHeight="1" x14ac:dyDescent="0.2">
      <c r="A136" s="78"/>
      <c r="B136" s="78"/>
      <c r="C136" s="78"/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</row>
    <row r="137" spans="1:26" ht="12.75" customHeight="1" x14ac:dyDescent="0.2">
      <c r="A137" s="78"/>
      <c r="B137" s="78"/>
      <c r="C137" s="78"/>
      <c r="D137" s="78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</row>
    <row r="138" spans="1:26" ht="12.75" customHeight="1" x14ac:dyDescent="0.2">
      <c r="A138" s="78"/>
      <c r="B138" s="78"/>
      <c r="C138" s="78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</row>
    <row r="139" spans="1:26" ht="12.75" customHeight="1" x14ac:dyDescent="0.2">
      <c r="A139" s="78"/>
      <c r="B139" s="78"/>
      <c r="C139" s="78"/>
      <c r="D139" s="78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</row>
    <row r="140" spans="1:26" ht="12.75" customHeight="1" x14ac:dyDescent="0.2">
      <c r="A140" s="78"/>
      <c r="B140" s="78"/>
      <c r="C140" s="78"/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</row>
    <row r="141" spans="1:26" ht="12.75" customHeight="1" x14ac:dyDescent="0.2">
      <c r="A141" s="78"/>
      <c r="B141" s="78"/>
      <c r="C141" s="78"/>
      <c r="D141" s="78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</row>
    <row r="142" spans="1:26" ht="12.75" customHeight="1" x14ac:dyDescent="0.2">
      <c r="A142" s="78"/>
      <c r="B142" s="78"/>
      <c r="C142" s="78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</row>
    <row r="143" spans="1:26" ht="12.75" customHeight="1" x14ac:dyDescent="0.2">
      <c r="A143" s="78"/>
      <c r="B143" s="78"/>
      <c r="C143" s="78"/>
      <c r="D143" s="78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</row>
    <row r="144" spans="1:26" ht="12.75" customHeight="1" x14ac:dyDescent="0.2">
      <c r="A144" s="78"/>
      <c r="B144" s="78"/>
      <c r="C144" s="78"/>
      <c r="D144" s="78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</row>
    <row r="145" spans="1:26" ht="12.75" customHeight="1" x14ac:dyDescent="0.2">
      <c r="A145" s="78"/>
      <c r="B145" s="78"/>
      <c r="C145" s="78"/>
      <c r="D145" s="78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</row>
    <row r="146" spans="1:26" ht="12.75" customHeight="1" x14ac:dyDescent="0.2">
      <c r="A146" s="78"/>
      <c r="B146" s="78"/>
      <c r="C146" s="78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</row>
    <row r="147" spans="1:26" ht="12.75" customHeight="1" x14ac:dyDescent="0.2">
      <c r="A147" s="78"/>
      <c r="B147" s="78"/>
      <c r="C147" s="78"/>
      <c r="D147" s="78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</row>
    <row r="148" spans="1:26" ht="12.75" customHeight="1" x14ac:dyDescent="0.2">
      <c r="A148" s="78"/>
      <c r="B148" s="78"/>
      <c r="C148" s="78"/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</row>
    <row r="149" spans="1:26" ht="12.75" customHeight="1" x14ac:dyDescent="0.2">
      <c r="A149" s="78"/>
      <c r="B149" s="78"/>
      <c r="C149" s="78"/>
      <c r="D149" s="78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</row>
    <row r="150" spans="1:26" ht="12.75" customHeight="1" x14ac:dyDescent="0.2">
      <c r="A150" s="78"/>
      <c r="B150" s="78"/>
      <c r="C150" s="78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</row>
    <row r="151" spans="1:26" ht="12.75" customHeight="1" x14ac:dyDescent="0.2">
      <c r="A151" s="78"/>
      <c r="B151" s="78"/>
      <c r="C151" s="78"/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</row>
    <row r="152" spans="1:26" ht="12.75" customHeight="1" x14ac:dyDescent="0.2">
      <c r="A152" s="78"/>
      <c r="B152" s="78"/>
      <c r="C152" s="78"/>
      <c r="D152" s="78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</row>
    <row r="153" spans="1:26" ht="12.75" customHeight="1" x14ac:dyDescent="0.2">
      <c r="A153" s="78"/>
      <c r="B153" s="78"/>
      <c r="C153" s="78"/>
      <c r="D153" s="78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</row>
    <row r="154" spans="1:26" ht="12.75" customHeight="1" x14ac:dyDescent="0.2">
      <c r="A154" s="78"/>
      <c r="B154" s="78"/>
      <c r="C154" s="78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</row>
    <row r="155" spans="1:26" ht="12.75" customHeight="1" x14ac:dyDescent="0.2">
      <c r="A155" s="78"/>
      <c r="B155" s="78"/>
      <c r="C155" s="78"/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</row>
    <row r="156" spans="1:26" ht="12.75" customHeight="1" x14ac:dyDescent="0.2">
      <c r="A156" s="78"/>
      <c r="B156" s="78"/>
      <c r="C156" s="78"/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</row>
    <row r="157" spans="1:26" ht="12.75" customHeight="1" x14ac:dyDescent="0.2">
      <c r="A157" s="78"/>
      <c r="B157" s="78"/>
      <c r="C157" s="78"/>
      <c r="D157" s="78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</row>
    <row r="158" spans="1:26" ht="12.75" customHeight="1" x14ac:dyDescent="0.2">
      <c r="A158" s="78"/>
      <c r="B158" s="78"/>
      <c r="C158" s="78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</row>
    <row r="159" spans="1:26" ht="12.75" customHeight="1" x14ac:dyDescent="0.2">
      <c r="A159" s="78"/>
      <c r="B159" s="78"/>
      <c r="C159" s="78"/>
      <c r="D159" s="78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</row>
    <row r="160" spans="1:26" ht="12.75" customHeight="1" x14ac:dyDescent="0.2">
      <c r="A160" s="78"/>
      <c r="B160" s="78"/>
      <c r="C160" s="78"/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</row>
    <row r="161" spans="1:26" ht="12.75" customHeight="1" x14ac:dyDescent="0.2">
      <c r="A161" s="78"/>
      <c r="B161" s="78"/>
      <c r="C161" s="78"/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</row>
    <row r="162" spans="1:26" ht="12.75" customHeight="1" x14ac:dyDescent="0.2">
      <c r="A162" s="78"/>
      <c r="B162" s="78"/>
      <c r="C162" s="78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</row>
    <row r="163" spans="1:26" ht="12.75" customHeight="1" x14ac:dyDescent="0.2">
      <c r="A163" s="78"/>
      <c r="B163" s="78"/>
      <c r="C163" s="78"/>
      <c r="D163" s="78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</row>
    <row r="164" spans="1:26" ht="12.75" customHeight="1" x14ac:dyDescent="0.2">
      <c r="A164" s="78"/>
      <c r="B164" s="78"/>
      <c r="C164" s="78"/>
      <c r="D164" s="78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</row>
    <row r="165" spans="1:26" ht="12.75" customHeight="1" x14ac:dyDescent="0.2">
      <c r="A165" s="78"/>
      <c r="B165" s="78"/>
      <c r="C165" s="78"/>
      <c r="D165" s="78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</row>
    <row r="166" spans="1:26" ht="12.75" customHeight="1" x14ac:dyDescent="0.2">
      <c r="A166" s="78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</row>
    <row r="167" spans="1:26" ht="12.75" customHeight="1" x14ac:dyDescent="0.2">
      <c r="A167" s="78"/>
      <c r="B167" s="78"/>
      <c r="C167" s="78"/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</row>
    <row r="168" spans="1:26" ht="12.75" customHeight="1" x14ac:dyDescent="0.2">
      <c r="A168" s="78"/>
      <c r="B168" s="78"/>
      <c r="C168" s="78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</row>
    <row r="169" spans="1:26" ht="12.75" customHeight="1" x14ac:dyDescent="0.2">
      <c r="A169" s="78"/>
      <c r="B169" s="78"/>
      <c r="C169" s="78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</row>
    <row r="170" spans="1:26" ht="12.75" customHeight="1" x14ac:dyDescent="0.2">
      <c r="A170" s="78"/>
      <c r="B170" s="78"/>
      <c r="C170" s="78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</row>
    <row r="171" spans="1:26" ht="12.75" customHeight="1" x14ac:dyDescent="0.2">
      <c r="A171" s="78"/>
      <c r="B171" s="78"/>
      <c r="C171" s="78"/>
      <c r="D171" s="78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</row>
    <row r="172" spans="1:26" ht="12.75" customHeight="1" x14ac:dyDescent="0.2">
      <c r="A172" s="78"/>
      <c r="B172" s="78"/>
      <c r="C172" s="78"/>
      <c r="D172" s="78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</row>
    <row r="173" spans="1:26" ht="12.75" customHeight="1" x14ac:dyDescent="0.2">
      <c r="A173" s="78"/>
      <c r="B173" s="78"/>
      <c r="C173" s="78"/>
      <c r="D173" s="78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</row>
    <row r="174" spans="1:26" ht="12.75" customHeight="1" x14ac:dyDescent="0.2">
      <c r="A174" s="78"/>
      <c r="B174" s="78"/>
      <c r="C174" s="7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</row>
    <row r="175" spans="1:26" ht="12.75" customHeight="1" x14ac:dyDescent="0.2">
      <c r="A175" s="78"/>
      <c r="B175" s="78"/>
      <c r="C175" s="78"/>
      <c r="D175" s="78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</row>
    <row r="176" spans="1:26" ht="12.75" customHeight="1" x14ac:dyDescent="0.2">
      <c r="A176" s="78"/>
      <c r="B176" s="78"/>
      <c r="C176" s="78"/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</row>
    <row r="177" spans="1:26" ht="12.75" customHeight="1" x14ac:dyDescent="0.2">
      <c r="A177" s="78"/>
      <c r="B177" s="78"/>
      <c r="C177" s="78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</row>
    <row r="178" spans="1:26" ht="12.75" customHeight="1" x14ac:dyDescent="0.2">
      <c r="A178" s="78"/>
      <c r="B178" s="78"/>
      <c r="C178" s="78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</row>
    <row r="179" spans="1:26" ht="12.75" customHeight="1" x14ac:dyDescent="0.2">
      <c r="A179" s="78"/>
      <c r="B179" s="78"/>
      <c r="C179" s="78"/>
      <c r="D179" s="78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</row>
    <row r="180" spans="1:26" ht="12.75" customHeight="1" x14ac:dyDescent="0.2">
      <c r="A180" s="78"/>
      <c r="B180" s="78"/>
      <c r="C180" s="78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</row>
    <row r="181" spans="1:26" ht="12.75" customHeight="1" x14ac:dyDescent="0.2">
      <c r="A181" s="78"/>
      <c r="B181" s="78"/>
      <c r="C181" s="78"/>
      <c r="D181" s="78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</row>
    <row r="182" spans="1:26" ht="12.75" customHeight="1" x14ac:dyDescent="0.2">
      <c r="A182" s="78"/>
      <c r="B182" s="78"/>
      <c r="C182" s="78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</row>
    <row r="183" spans="1:26" ht="12.75" customHeight="1" x14ac:dyDescent="0.2">
      <c r="A183" s="78"/>
      <c r="B183" s="78"/>
      <c r="C183" s="78"/>
      <c r="D183" s="78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</row>
    <row r="184" spans="1:26" ht="12.75" customHeight="1" x14ac:dyDescent="0.2">
      <c r="A184" s="78"/>
      <c r="B184" s="78"/>
      <c r="C184" s="78"/>
      <c r="D184" s="78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</row>
    <row r="185" spans="1:26" ht="12.75" customHeight="1" x14ac:dyDescent="0.2">
      <c r="A185" s="78"/>
      <c r="B185" s="78"/>
      <c r="C185" s="78"/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</row>
    <row r="186" spans="1:26" ht="12.75" customHeight="1" x14ac:dyDescent="0.2">
      <c r="A186" s="78"/>
      <c r="B186" s="78"/>
      <c r="C186" s="78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</row>
    <row r="187" spans="1:26" ht="12.75" customHeight="1" x14ac:dyDescent="0.2">
      <c r="A187" s="78"/>
      <c r="B187" s="78"/>
      <c r="C187" s="78"/>
      <c r="D187" s="78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</row>
    <row r="188" spans="1:26" ht="12.75" customHeight="1" x14ac:dyDescent="0.2">
      <c r="A188" s="78"/>
      <c r="B188" s="78"/>
      <c r="C188" s="78"/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</row>
    <row r="189" spans="1:26" ht="12.75" customHeight="1" x14ac:dyDescent="0.2">
      <c r="A189" s="78"/>
      <c r="B189" s="78"/>
      <c r="C189" s="78"/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</row>
    <row r="190" spans="1:26" ht="12.75" customHeight="1" x14ac:dyDescent="0.2">
      <c r="A190" s="78"/>
      <c r="B190" s="78"/>
      <c r="C190" s="78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</row>
    <row r="191" spans="1:26" ht="12.75" customHeight="1" x14ac:dyDescent="0.2">
      <c r="A191" s="78"/>
      <c r="B191" s="78"/>
      <c r="C191" s="78"/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</row>
    <row r="192" spans="1:26" ht="12.75" customHeight="1" x14ac:dyDescent="0.2">
      <c r="A192" s="78"/>
      <c r="B192" s="78"/>
      <c r="C192" s="78"/>
      <c r="D192" s="78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</row>
    <row r="193" spans="1:26" ht="12.75" customHeight="1" x14ac:dyDescent="0.2">
      <c r="A193" s="78"/>
      <c r="B193" s="78"/>
      <c r="C193" s="78"/>
      <c r="D193" s="78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</row>
    <row r="194" spans="1:26" ht="12.75" customHeight="1" x14ac:dyDescent="0.2">
      <c r="A194" s="78"/>
      <c r="B194" s="78"/>
      <c r="C194" s="78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</row>
    <row r="195" spans="1:26" ht="12.75" customHeight="1" x14ac:dyDescent="0.2">
      <c r="A195" s="78"/>
      <c r="B195" s="78"/>
      <c r="C195" s="78"/>
      <c r="D195" s="78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</row>
    <row r="196" spans="1:26" ht="12.75" customHeight="1" x14ac:dyDescent="0.2">
      <c r="A196" s="78"/>
      <c r="B196" s="78"/>
      <c r="C196" s="78"/>
      <c r="D196" s="78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</row>
    <row r="197" spans="1:26" ht="12.75" customHeight="1" x14ac:dyDescent="0.2">
      <c r="A197" s="78"/>
      <c r="B197" s="78"/>
      <c r="C197" s="78"/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</row>
    <row r="198" spans="1:26" ht="12.75" customHeight="1" x14ac:dyDescent="0.2">
      <c r="A198" s="78"/>
      <c r="B198" s="78"/>
      <c r="C198" s="78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</row>
    <row r="199" spans="1:26" ht="12.75" customHeight="1" x14ac:dyDescent="0.2">
      <c r="A199" s="78"/>
      <c r="B199" s="78"/>
      <c r="C199" s="78"/>
      <c r="D199" s="78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</row>
    <row r="200" spans="1:26" ht="12.75" customHeight="1" x14ac:dyDescent="0.2">
      <c r="A200" s="78"/>
      <c r="B200" s="78"/>
      <c r="C200" s="78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</row>
    <row r="201" spans="1:26" ht="12.75" customHeight="1" x14ac:dyDescent="0.2">
      <c r="A201" s="78"/>
      <c r="B201" s="78"/>
      <c r="C201" s="78"/>
      <c r="D201" s="78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</row>
    <row r="202" spans="1:26" ht="12.75" customHeight="1" x14ac:dyDescent="0.2">
      <c r="A202" s="78"/>
      <c r="B202" s="78"/>
      <c r="C202" s="78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</row>
    <row r="203" spans="1:26" ht="12.75" customHeight="1" x14ac:dyDescent="0.2">
      <c r="A203" s="78"/>
      <c r="B203" s="78"/>
      <c r="C203" s="78"/>
      <c r="D203" s="78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</row>
    <row r="204" spans="1:26" ht="12.75" customHeight="1" x14ac:dyDescent="0.2">
      <c r="A204" s="78"/>
      <c r="B204" s="78"/>
      <c r="C204" s="78"/>
      <c r="D204" s="78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</row>
    <row r="205" spans="1:26" ht="12.75" customHeight="1" x14ac:dyDescent="0.2">
      <c r="A205" s="78"/>
      <c r="B205" s="78"/>
      <c r="C205" s="78"/>
      <c r="D205" s="78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</row>
    <row r="206" spans="1:26" ht="12.75" customHeight="1" x14ac:dyDescent="0.2">
      <c r="A206" s="78"/>
      <c r="B206" s="78"/>
      <c r="C206" s="78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</row>
    <row r="207" spans="1:26" ht="12.75" customHeight="1" x14ac:dyDescent="0.2">
      <c r="A207" s="78"/>
      <c r="B207" s="78"/>
      <c r="C207" s="78"/>
      <c r="D207" s="78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</row>
    <row r="208" spans="1:26" ht="12.75" customHeight="1" x14ac:dyDescent="0.2">
      <c r="A208" s="78"/>
      <c r="B208" s="78"/>
      <c r="C208" s="78"/>
      <c r="D208" s="78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</row>
    <row r="209" spans="1:26" ht="12.75" customHeight="1" x14ac:dyDescent="0.2">
      <c r="A209" s="78"/>
      <c r="B209" s="78"/>
      <c r="C209" s="78"/>
      <c r="D209" s="78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</row>
    <row r="210" spans="1:26" ht="12.75" customHeight="1" x14ac:dyDescent="0.2">
      <c r="A210" s="78"/>
      <c r="B210" s="78"/>
      <c r="C210" s="78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</row>
    <row r="211" spans="1:26" ht="12.75" customHeight="1" x14ac:dyDescent="0.2">
      <c r="A211" s="78"/>
      <c r="B211" s="78"/>
      <c r="C211" s="78"/>
      <c r="D211" s="78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</row>
    <row r="212" spans="1:26" ht="12.75" customHeight="1" x14ac:dyDescent="0.2">
      <c r="A212" s="78"/>
      <c r="B212" s="78"/>
      <c r="C212" s="78"/>
      <c r="D212" s="78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</row>
    <row r="213" spans="1:26" ht="12.75" customHeight="1" x14ac:dyDescent="0.2">
      <c r="A213" s="78"/>
      <c r="B213" s="78"/>
      <c r="C213" s="78"/>
      <c r="D213" s="78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</row>
    <row r="214" spans="1:26" ht="12.75" customHeight="1" x14ac:dyDescent="0.2">
      <c r="A214" s="78"/>
      <c r="B214" s="78"/>
      <c r="C214" s="78"/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</row>
    <row r="215" spans="1:26" ht="12.75" customHeight="1" x14ac:dyDescent="0.2">
      <c r="A215" s="78"/>
      <c r="B215" s="78"/>
      <c r="C215" s="78"/>
      <c r="D215" s="78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</row>
    <row r="216" spans="1:26" ht="12.75" customHeight="1" x14ac:dyDescent="0.2">
      <c r="A216" s="78"/>
      <c r="B216" s="78"/>
      <c r="C216" s="78"/>
      <c r="D216" s="78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</row>
    <row r="217" spans="1:26" ht="12.75" customHeight="1" x14ac:dyDescent="0.2">
      <c r="A217" s="78"/>
      <c r="B217" s="78"/>
      <c r="C217" s="78"/>
      <c r="D217" s="78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</row>
    <row r="218" spans="1:26" ht="12.75" customHeight="1" x14ac:dyDescent="0.2">
      <c r="A218" s="78"/>
      <c r="B218" s="78"/>
      <c r="C218" s="78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</row>
    <row r="219" spans="1:26" ht="12.75" customHeight="1" x14ac:dyDescent="0.2">
      <c r="A219" s="78"/>
      <c r="B219" s="78"/>
      <c r="C219" s="78"/>
      <c r="D219" s="78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</row>
    <row r="220" spans="1:26" ht="12.75" customHeight="1" x14ac:dyDescent="0.2">
      <c r="A220" s="78"/>
      <c r="B220" s="78"/>
      <c r="C220" s="78"/>
      <c r="D220" s="78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</row>
    <row r="221" spans="1:26" ht="12.75" customHeight="1" x14ac:dyDescent="0.2">
      <c r="A221" s="78"/>
      <c r="B221" s="78"/>
      <c r="C221" s="78"/>
      <c r="D221" s="78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</row>
    <row r="222" spans="1:26" ht="12.75" customHeight="1" x14ac:dyDescent="0.2">
      <c r="A222" s="78"/>
      <c r="B222" s="78"/>
      <c r="C222" s="78"/>
      <c r="D222" s="78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  <c r="Z222" s="78"/>
    </row>
    <row r="223" spans="1:26" ht="12.75" customHeight="1" x14ac:dyDescent="0.2">
      <c r="A223" s="78"/>
      <c r="B223" s="78"/>
      <c r="C223" s="78"/>
      <c r="D223" s="78"/>
      <c r="E223" s="78"/>
      <c r="F223" s="78"/>
      <c r="G223" s="78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78"/>
      <c r="W223" s="78"/>
      <c r="X223" s="78"/>
      <c r="Y223" s="78"/>
      <c r="Z223" s="78"/>
    </row>
    <row r="224" spans="1:26" ht="12.75" customHeight="1" x14ac:dyDescent="0.2">
      <c r="A224" s="78"/>
      <c r="B224" s="78"/>
      <c r="C224" s="78"/>
      <c r="D224" s="78"/>
      <c r="E224" s="78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</row>
    <row r="225" spans="1:26" ht="12.75" customHeight="1" x14ac:dyDescent="0.2">
      <c r="A225" s="78"/>
      <c r="B225" s="78"/>
      <c r="C225" s="78"/>
      <c r="D225" s="78"/>
      <c r="E225" s="78"/>
      <c r="F225" s="78"/>
      <c r="G225" s="78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8"/>
      <c r="W225" s="78"/>
      <c r="X225" s="78"/>
      <c r="Y225" s="78"/>
      <c r="Z225" s="78"/>
    </row>
    <row r="226" spans="1:26" ht="12.75" customHeight="1" x14ac:dyDescent="0.2">
      <c r="A226" s="78"/>
      <c r="B226" s="78"/>
      <c r="C226" s="78"/>
      <c r="D226" s="78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8"/>
      <c r="W226" s="78"/>
      <c r="X226" s="78"/>
      <c r="Y226" s="78"/>
      <c r="Z226" s="78"/>
    </row>
    <row r="227" spans="1:26" ht="12.75" customHeight="1" x14ac:dyDescent="0.2">
      <c r="A227" s="78"/>
      <c r="B227" s="78"/>
      <c r="C227" s="78"/>
      <c r="D227" s="78"/>
      <c r="E227" s="78"/>
      <c r="F227" s="78"/>
      <c r="G227" s="78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8"/>
      <c r="Z227" s="78"/>
    </row>
    <row r="228" spans="1:26" ht="12.75" customHeight="1" x14ac:dyDescent="0.2">
      <c r="A228" s="78"/>
      <c r="B228" s="78"/>
      <c r="C228" s="78"/>
      <c r="D228" s="78"/>
      <c r="E228" s="78"/>
      <c r="F228" s="78"/>
      <c r="G228" s="78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78"/>
      <c r="V228" s="78"/>
      <c r="W228" s="78"/>
      <c r="X228" s="78"/>
      <c r="Y228" s="78"/>
      <c r="Z228" s="78"/>
    </row>
    <row r="229" spans="1:26" ht="12.75" customHeight="1" x14ac:dyDescent="0.2">
      <c r="A229" s="78"/>
      <c r="B229" s="78"/>
      <c r="C229" s="78"/>
      <c r="D229" s="78"/>
      <c r="E229" s="78"/>
      <c r="F229" s="78"/>
      <c r="G229" s="78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  <c r="Z229" s="78"/>
    </row>
    <row r="230" spans="1:26" ht="12.75" customHeight="1" x14ac:dyDescent="0.2">
      <c r="A230" s="78"/>
      <c r="B230" s="78"/>
      <c r="C230" s="78"/>
      <c r="D230" s="78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78"/>
      <c r="V230" s="78"/>
      <c r="W230" s="78"/>
      <c r="X230" s="78"/>
      <c r="Y230" s="78"/>
      <c r="Z230" s="78"/>
    </row>
    <row r="231" spans="1:26" ht="12.75" customHeight="1" x14ac:dyDescent="0.2">
      <c r="A231" s="78"/>
      <c r="B231" s="78"/>
      <c r="C231" s="78"/>
      <c r="D231" s="78"/>
      <c r="E231" s="78"/>
      <c r="F231" s="78"/>
      <c r="G231" s="78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8"/>
      <c r="Z231" s="78"/>
    </row>
    <row r="232" spans="1:26" ht="12.75" customHeight="1" x14ac:dyDescent="0.2">
      <c r="A232" s="78"/>
      <c r="B232" s="78"/>
      <c r="C232" s="78"/>
      <c r="D232" s="78"/>
      <c r="E232" s="78"/>
      <c r="F232" s="78"/>
      <c r="G232" s="78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  <c r="Z232" s="78"/>
    </row>
    <row r="233" spans="1:26" ht="12.75" customHeight="1" x14ac:dyDescent="0.2">
      <c r="A233" s="78"/>
      <c r="B233" s="78"/>
      <c r="C233" s="78"/>
      <c r="D233" s="78"/>
      <c r="E233" s="78"/>
      <c r="F233" s="78"/>
      <c r="G233" s="78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8"/>
      <c r="Z233" s="78"/>
    </row>
    <row r="234" spans="1:26" ht="12.75" customHeight="1" x14ac:dyDescent="0.2">
      <c r="A234" s="78"/>
      <c r="B234" s="78"/>
      <c r="C234" s="78"/>
      <c r="D234" s="78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78"/>
      <c r="V234" s="78"/>
      <c r="W234" s="78"/>
      <c r="X234" s="78"/>
      <c r="Y234" s="78"/>
      <c r="Z234" s="78"/>
    </row>
    <row r="235" spans="1:26" ht="12.75" customHeight="1" x14ac:dyDescent="0.2">
      <c r="A235" s="78"/>
      <c r="B235" s="78"/>
      <c r="C235" s="78"/>
      <c r="D235" s="78"/>
      <c r="E235" s="78"/>
      <c r="F235" s="78"/>
      <c r="G235" s="78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78"/>
      <c r="V235" s="78"/>
      <c r="W235" s="78"/>
      <c r="X235" s="78"/>
      <c r="Y235" s="78"/>
      <c r="Z235" s="78"/>
    </row>
    <row r="236" spans="1:26" ht="12.75" customHeight="1" x14ac:dyDescent="0.2">
      <c r="A236" s="78"/>
      <c r="B236" s="78"/>
      <c r="C236" s="78"/>
      <c r="D236" s="78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</row>
    <row r="237" spans="1:26" ht="12.75" customHeight="1" x14ac:dyDescent="0.2">
      <c r="A237" s="78"/>
      <c r="B237" s="78"/>
      <c r="C237" s="78"/>
      <c r="D237" s="78"/>
      <c r="E237" s="78"/>
      <c r="F237" s="78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  <c r="Z237" s="78"/>
    </row>
    <row r="238" spans="1:26" ht="12.75" customHeight="1" x14ac:dyDescent="0.2">
      <c r="A238" s="78"/>
      <c r="B238" s="78"/>
      <c r="C238" s="78"/>
      <c r="D238" s="78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  <c r="Z238" s="78"/>
    </row>
    <row r="239" spans="1:26" ht="12.75" customHeight="1" x14ac:dyDescent="0.2">
      <c r="A239" s="78"/>
      <c r="B239" s="78"/>
      <c r="C239" s="78"/>
      <c r="D239" s="78"/>
      <c r="E239" s="78"/>
      <c r="F239" s="78"/>
      <c r="G239" s="78"/>
      <c r="H239" s="78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78"/>
      <c r="V239" s="78"/>
      <c r="W239" s="78"/>
      <c r="X239" s="78"/>
      <c r="Y239" s="78"/>
      <c r="Z239" s="78"/>
    </row>
    <row r="240" spans="1:26" ht="12.75" customHeight="1" x14ac:dyDescent="0.2">
      <c r="A240" s="78"/>
      <c r="B240" s="78"/>
      <c r="C240" s="78"/>
      <c r="D240" s="78"/>
      <c r="E240" s="78"/>
      <c r="F240" s="78"/>
      <c r="G240" s="78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  <c r="V240" s="78"/>
      <c r="W240" s="78"/>
      <c r="X240" s="78"/>
      <c r="Y240" s="78"/>
      <c r="Z240" s="78"/>
    </row>
    <row r="241" spans="1:26" ht="12.75" customHeight="1" x14ac:dyDescent="0.2">
      <c r="A241" s="78"/>
      <c r="B241" s="78"/>
      <c r="C241" s="78"/>
      <c r="D241" s="78"/>
      <c r="E241" s="78"/>
      <c r="F241" s="78"/>
      <c r="G241" s="78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  <c r="V241" s="78"/>
      <c r="W241" s="78"/>
      <c r="X241" s="78"/>
      <c r="Y241" s="78"/>
      <c r="Z241" s="78"/>
    </row>
    <row r="242" spans="1:26" ht="12.75" customHeight="1" x14ac:dyDescent="0.2">
      <c r="A242" s="78"/>
      <c r="B242" s="78"/>
      <c r="C242" s="78"/>
      <c r="D242" s="78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78"/>
      <c r="W242" s="78"/>
      <c r="X242" s="78"/>
      <c r="Y242" s="78"/>
      <c r="Z242" s="78"/>
    </row>
    <row r="243" spans="1:26" ht="12.75" customHeight="1" x14ac:dyDescent="0.2">
      <c r="A243" s="78"/>
      <c r="B243" s="78"/>
      <c r="C243" s="78"/>
      <c r="D243" s="78"/>
      <c r="E243" s="78"/>
      <c r="F243" s="78"/>
      <c r="G243" s="78"/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78"/>
    </row>
    <row r="244" spans="1:26" ht="12.75" customHeight="1" x14ac:dyDescent="0.2">
      <c r="A244" s="78"/>
      <c r="B244" s="78"/>
      <c r="C244" s="78"/>
      <c r="D244" s="78"/>
      <c r="E244" s="78"/>
      <c r="F244" s="78"/>
      <c r="G244" s="78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  <c r="V244" s="78"/>
      <c r="W244" s="78"/>
      <c r="X244" s="78"/>
      <c r="Y244" s="78"/>
      <c r="Z244" s="78"/>
    </row>
    <row r="245" spans="1:26" ht="12.75" customHeight="1" x14ac:dyDescent="0.2">
      <c r="A245" s="78"/>
      <c r="B245" s="78"/>
      <c r="C245" s="78"/>
      <c r="D245" s="78"/>
      <c r="E245" s="78"/>
      <c r="F245" s="78"/>
      <c r="G245" s="78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  <c r="W245" s="78"/>
      <c r="X245" s="78"/>
      <c r="Y245" s="78"/>
      <c r="Z245" s="78"/>
    </row>
    <row r="246" spans="1:26" ht="12.75" customHeight="1" x14ac:dyDescent="0.2">
      <c r="A246" s="78"/>
      <c r="B246" s="78"/>
      <c r="C246" s="78"/>
      <c r="D246" s="78"/>
      <c r="E246" s="78"/>
      <c r="F246" s="78"/>
      <c r="G246" s="78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  <c r="W246" s="78"/>
      <c r="X246" s="78"/>
      <c r="Y246" s="78"/>
      <c r="Z246" s="78"/>
    </row>
    <row r="247" spans="1:26" ht="12.75" customHeight="1" x14ac:dyDescent="0.2">
      <c r="A247" s="78"/>
      <c r="B247" s="78"/>
      <c r="C247" s="78"/>
      <c r="D247" s="78"/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8"/>
      <c r="Z247" s="78"/>
    </row>
    <row r="248" spans="1:26" ht="12.75" customHeight="1" x14ac:dyDescent="0.2">
      <c r="A248" s="78"/>
      <c r="B248" s="78"/>
      <c r="C248" s="78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  <c r="Z248" s="78"/>
    </row>
    <row r="249" spans="1:26" ht="12.75" customHeight="1" x14ac:dyDescent="0.2">
      <c r="A249" s="78"/>
      <c r="B249" s="78"/>
      <c r="C249" s="78"/>
      <c r="D249" s="78"/>
      <c r="E249" s="78"/>
      <c r="F249" s="78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  <c r="Z249" s="78"/>
    </row>
    <row r="250" spans="1:26" ht="12.75" customHeight="1" x14ac:dyDescent="0.2">
      <c r="A250" s="78"/>
      <c r="B250" s="78"/>
      <c r="C250" s="78"/>
      <c r="D250" s="78"/>
      <c r="E250" s="78"/>
      <c r="F250" s="78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78"/>
      <c r="Y250" s="78"/>
      <c r="Z250" s="78"/>
    </row>
    <row r="251" spans="1:26" ht="12.75" customHeight="1" x14ac:dyDescent="0.2">
      <c r="A251" s="78"/>
      <c r="B251" s="78"/>
      <c r="C251" s="78"/>
      <c r="D251" s="78"/>
      <c r="E251" s="78"/>
      <c r="F251" s="78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  <c r="Z251" s="78"/>
    </row>
    <row r="252" spans="1:26" ht="12.75" customHeight="1" x14ac:dyDescent="0.2">
      <c r="A252" s="78"/>
      <c r="B252" s="78"/>
      <c r="C252" s="78"/>
      <c r="D252" s="78"/>
      <c r="E252" s="78"/>
      <c r="F252" s="78"/>
      <c r="G252" s="78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  <c r="W252" s="78"/>
      <c r="X252" s="78"/>
      <c r="Y252" s="78"/>
      <c r="Z252" s="78"/>
    </row>
    <row r="253" spans="1:26" ht="12.75" customHeight="1" x14ac:dyDescent="0.2">
      <c r="A253" s="78"/>
      <c r="B253" s="78"/>
      <c r="C253" s="78"/>
      <c r="D253" s="78"/>
      <c r="E253" s="78"/>
      <c r="F253" s="78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78"/>
      <c r="Y253" s="78"/>
      <c r="Z253" s="78"/>
    </row>
    <row r="254" spans="1:26" ht="12.75" customHeight="1" x14ac:dyDescent="0.2">
      <c r="A254" s="78"/>
      <c r="B254" s="78"/>
      <c r="C254" s="78"/>
      <c r="D254" s="78"/>
      <c r="E254" s="78"/>
      <c r="F254" s="78"/>
      <c r="G254" s="78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  <c r="X254" s="78"/>
      <c r="Y254" s="78"/>
      <c r="Z254" s="78"/>
    </row>
    <row r="255" spans="1:26" ht="12.75" customHeight="1" x14ac:dyDescent="0.2">
      <c r="A255" s="78"/>
      <c r="B255" s="78"/>
      <c r="C255" s="78"/>
      <c r="D255" s="78"/>
      <c r="E255" s="78"/>
      <c r="F255" s="78"/>
      <c r="G255" s="78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  <c r="W255" s="78"/>
      <c r="X255" s="78"/>
      <c r="Y255" s="78"/>
      <c r="Z255" s="78"/>
    </row>
    <row r="256" spans="1:26" ht="12.75" customHeight="1" x14ac:dyDescent="0.2">
      <c r="A256" s="78"/>
      <c r="B256" s="78"/>
      <c r="C256" s="78"/>
      <c r="D256" s="78"/>
      <c r="E256" s="78"/>
      <c r="F256" s="78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  <c r="Z256" s="78"/>
    </row>
    <row r="257" spans="1:26" ht="12.75" customHeight="1" x14ac:dyDescent="0.2">
      <c r="A257" s="78"/>
      <c r="B257" s="78"/>
      <c r="C257" s="78"/>
      <c r="D257" s="78"/>
      <c r="E257" s="78"/>
      <c r="F257" s="78"/>
      <c r="G257" s="78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8"/>
      <c r="Z257" s="78"/>
    </row>
    <row r="258" spans="1:26" ht="12.75" customHeight="1" x14ac:dyDescent="0.2">
      <c r="A258" s="78"/>
      <c r="B258" s="78"/>
      <c r="C258" s="78"/>
      <c r="D258" s="78"/>
      <c r="E258" s="78"/>
      <c r="F258" s="78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  <c r="Z258" s="78"/>
    </row>
    <row r="259" spans="1:26" ht="12.75" customHeight="1" x14ac:dyDescent="0.2">
      <c r="A259" s="78"/>
      <c r="B259" s="78"/>
      <c r="C259" s="78"/>
      <c r="D259" s="78"/>
      <c r="E259" s="78"/>
      <c r="F259" s="78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  <c r="Z259" s="78"/>
    </row>
    <row r="260" spans="1:26" ht="12.75" customHeight="1" x14ac:dyDescent="0.2">
      <c r="A260" s="78"/>
      <c r="B260" s="78"/>
      <c r="C260" s="78"/>
      <c r="D260" s="78"/>
      <c r="E260" s="78"/>
      <c r="F260" s="78"/>
      <c r="G260" s="78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  <c r="X260" s="78"/>
      <c r="Y260" s="78"/>
      <c r="Z260" s="78"/>
    </row>
    <row r="261" spans="1:26" ht="12.75" customHeight="1" x14ac:dyDescent="0.2">
      <c r="A261" s="78"/>
      <c r="B261" s="78"/>
      <c r="C261" s="78"/>
      <c r="D261" s="78"/>
      <c r="E261" s="78"/>
      <c r="F261" s="78"/>
      <c r="G261" s="78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  <c r="Z261" s="78"/>
    </row>
    <row r="262" spans="1:26" ht="12.75" customHeight="1" x14ac:dyDescent="0.2">
      <c r="A262" s="78"/>
      <c r="B262" s="78"/>
      <c r="C262" s="78"/>
      <c r="D262" s="78"/>
      <c r="E262" s="78"/>
      <c r="F262" s="78"/>
      <c r="G262" s="78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  <c r="X262" s="78"/>
      <c r="Y262" s="78"/>
      <c r="Z262" s="78"/>
    </row>
    <row r="263" spans="1:26" ht="12.75" customHeight="1" x14ac:dyDescent="0.2">
      <c r="A263" s="78"/>
      <c r="B263" s="78"/>
      <c r="C263" s="78"/>
      <c r="D263" s="78"/>
      <c r="E263" s="78"/>
      <c r="F263" s="78"/>
      <c r="G263" s="78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  <c r="W263" s="78"/>
      <c r="X263" s="78"/>
      <c r="Y263" s="78"/>
      <c r="Z263" s="78"/>
    </row>
    <row r="264" spans="1:26" ht="12.75" customHeight="1" x14ac:dyDescent="0.2">
      <c r="A264" s="78"/>
      <c r="B264" s="78"/>
      <c r="C264" s="78"/>
      <c r="D264" s="78"/>
      <c r="E264" s="78"/>
      <c r="F264" s="78"/>
      <c r="G264" s="78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8"/>
      <c r="Z264" s="78"/>
    </row>
    <row r="265" spans="1:26" ht="12.75" customHeight="1" x14ac:dyDescent="0.2">
      <c r="A265" s="78"/>
      <c r="B265" s="78"/>
      <c r="C265" s="78"/>
      <c r="D265" s="78"/>
      <c r="E265" s="78"/>
      <c r="F265" s="78"/>
      <c r="G265" s="78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  <c r="W265" s="78"/>
      <c r="X265" s="78"/>
      <c r="Y265" s="78"/>
      <c r="Z265" s="78"/>
    </row>
    <row r="266" spans="1:26" ht="12.75" customHeight="1" x14ac:dyDescent="0.2">
      <c r="A266" s="78"/>
      <c r="B266" s="78"/>
      <c r="C266" s="78"/>
      <c r="D266" s="78"/>
      <c r="E266" s="78"/>
      <c r="F266" s="78"/>
      <c r="G266" s="78"/>
      <c r="H266" s="78"/>
      <c r="I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8"/>
      <c r="W266" s="78"/>
      <c r="X266" s="78"/>
      <c r="Y266" s="78"/>
      <c r="Z266" s="78"/>
    </row>
    <row r="267" spans="1:26" ht="12.75" customHeight="1" x14ac:dyDescent="0.2">
      <c r="A267" s="78"/>
      <c r="B267" s="78"/>
      <c r="C267" s="78"/>
      <c r="D267" s="78"/>
      <c r="E267" s="78"/>
      <c r="F267" s="78"/>
      <c r="G267" s="78"/>
      <c r="H267" s="78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  <c r="V267" s="78"/>
      <c r="W267" s="78"/>
      <c r="X267" s="78"/>
      <c r="Y267" s="78"/>
      <c r="Z267" s="78"/>
    </row>
    <row r="268" spans="1:26" ht="12.75" customHeight="1" x14ac:dyDescent="0.2">
      <c r="A268" s="78"/>
      <c r="B268" s="78"/>
      <c r="C268" s="78"/>
      <c r="D268" s="78"/>
      <c r="E268" s="78"/>
      <c r="F268" s="78"/>
      <c r="G268" s="78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8"/>
      <c r="W268" s="78"/>
      <c r="X268" s="78"/>
      <c r="Y268" s="78"/>
      <c r="Z268" s="78"/>
    </row>
    <row r="269" spans="1:26" ht="12.75" customHeight="1" x14ac:dyDescent="0.2">
      <c r="A269" s="78"/>
      <c r="B269" s="78"/>
      <c r="C269" s="78"/>
      <c r="D269" s="78"/>
      <c r="E269" s="78"/>
      <c r="F269" s="78"/>
      <c r="G269" s="78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/>
      <c r="W269" s="78"/>
      <c r="X269" s="78"/>
      <c r="Y269" s="78"/>
      <c r="Z269" s="78"/>
    </row>
    <row r="270" spans="1:26" ht="12.75" customHeight="1" x14ac:dyDescent="0.2">
      <c r="A270" s="78"/>
      <c r="B270" s="78"/>
      <c r="C270" s="78"/>
      <c r="D270" s="78"/>
      <c r="E270" s="78"/>
      <c r="F270" s="78"/>
      <c r="G270" s="78"/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8"/>
      <c r="W270" s="78"/>
      <c r="X270" s="78"/>
      <c r="Y270" s="78"/>
      <c r="Z270" s="78"/>
    </row>
    <row r="271" spans="1:26" ht="12.75" customHeight="1" x14ac:dyDescent="0.2">
      <c r="A271" s="78"/>
      <c r="B271" s="78"/>
      <c r="C271" s="78"/>
      <c r="D271" s="78"/>
      <c r="E271" s="78"/>
      <c r="F271" s="78"/>
      <c r="G271" s="78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  <c r="W271" s="78"/>
      <c r="X271" s="78"/>
      <c r="Y271" s="78"/>
      <c r="Z271" s="78"/>
    </row>
    <row r="272" spans="1:26" ht="12.75" customHeight="1" x14ac:dyDescent="0.2">
      <c r="A272" s="78"/>
      <c r="B272" s="78"/>
      <c r="C272" s="78"/>
      <c r="D272" s="78"/>
      <c r="E272" s="78"/>
      <c r="F272" s="78"/>
      <c r="G272" s="78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  <c r="W272" s="78"/>
      <c r="X272" s="78"/>
      <c r="Y272" s="78"/>
      <c r="Z272" s="78"/>
    </row>
    <row r="273" spans="1:26" ht="12.75" customHeight="1" x14ac:dyDescent="0.2">
      <c r="A273" s="78"/>
      <c r="B273" s="78"/>
      <c r="C273" s="78"/>
      <c r="D273" s="78"/>
      <c r="E273" s="78"/>
      <c r="F273" s="78"/>
      <c r="G273" s="78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  <c r="W273" s="78"/>
      <c r="X273" s="78"/>
      <c r="Y273" s="78"/>
      <c r="Z273" s="78"/>
    </row>
    <row r="274" spans="1:26" ht="12.75" customHeight="1" x14ac:dyDescent="0.2">
      <c r="A274" s="78"/>
      <c r="B274" s="78"/>
      <c r="C274" s="78"/>
      <c r="D274" s="78"/>
      <c r="E274" s="78"/>
      <c r="F274" s="78"/>
      <c r="G274" s="78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  <c r="Z274" s="78"/>
    </row>
    <row r="275" spans="1:26" ht="12.75" customHeight="1" x14ac:dyDescent="0.2">
      <c r="A275" s="78"/>
      <c r="B275" s="78"/>
      <c r="C275" s="78"/>
      <c r="D275" s="78"/>
      <c r="E275" s="78"/>
      <c r="F275" s="78"/>
      <c r="G275" s="78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8"/>
      <c r="Z275" s="78"/>
    </row>
    <row r="276" spans="1:26" ht="12.75" customHeight="1" x14ac:dyDescent="0.2">
      <c r="A276" s="78"/>
      <c r="B276" s="78"/>
      <c r="C276" s="78"/>
      <c r="D276" s="78"/>
      <c r="E276" s="78"/>
      <c r="F276" s="78"/>
      <c r="G276" s="78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  <c r="W276" s="78"/>
      <c r="X276" s="78"/>
      <c r="Y276" s="78"/>
      <c r="Z276" s="78"/>
    </row>
    <row r="277" spans="1:26" ht="12.75" customHeight="1" x14ac:dyDescent="0.2">
      <c r="A277" s="78"/>
      <c r="B277" s="78"/>
      <c r="C277" s="78"/>
      <c r="D277" s="78"/>
      <c r="E277" s="78"/>
      <c r="F277" s="78"/>
      <c r="G277" s="78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  <c r="X277" s="78"/>
      <c r="Y277" s="78"/>
      <c r="Z277" s="78"/>
    </row>
    <row r="278" spans="1:26" ht="12.75" customHeight="1" x14ac:dyDescent="0.2">
      <c r="A278" s="78"/>
      <c r="B278" s="78"/>
      <c r="C278" s="78"/>
      <c r="D278" s="78"/>
      <c r="E278" s="78"/>
      <c r="F278" s="78"/>
      <c r="G278" s="78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  <c r="X278" s="78"/>
      <c r="Y278" s="78"/>
      <c r="Z278" s="78"/>
    </row>
    <row r="279" spans="1:26" ht="12.75" customHeight="1" x14ac:dyDescent="0.2">
      <c r="A279" s="78"/>
      <c r="B279" s="78"/>
      <c r="C279" s="78"/>
      <c r="D279" s="78"/>
      <c r="E279" s="78"/>
      <c r="F279" s="78"/>
      <c r="G279" s="78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  <c r="Z279" s="78"/>
    </row>
    <row r="280" spans="1:26" ht="12.75" customHeight="1" x14ac:dyDescent="0.2">
      <c r="A280" s="78"/>
      <c r="B280" s="78"/>
      <c r="C280" s="78"/>
      <c r="D280" s="78"/>
      <c r="E280" s="78"/>
      <c r="F280" s="78"/>
      <c r="G280" s="78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8"/>
      <c r="Z280" s="78"/>
    </row>
    <row r="281" spans="1:26" ht="12.75" customHeight="1" x14ac:dyDescent="0.2">
      <c r="A281" s="78"/>
      <c r="B281" s="78"/>
      <c r="C281" s="78"/>
      <c r="D281" s="78"/>
      <c r="E281" s="78"/>
      <c r="F281" s="78"/>
      <c r="G281" s="78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  <c r="Z281" s="78"/>
    </row>
    <row r="282" spans="1:26" ht="12.75" customHeight="1" x14ac:dyDescent="0.2">
      <c r="A282" s="78"/>
      <c r="B282" s="78"/>
      <c r="C282" s="78"/>
      <c r="D282" s="78"/>
      <c r="E282" s="78"/>
      <c r="F282" s="78"/>
      <c r="G282" s="78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  <c r="Z282" s="78"/>
    </row>
    <row r="283" spans="1:26" ht="12.75" customHeight="1" x14ac:dyDescent="0.2">
      <c r="A283" s="78"/>
      <c r="B283" s="78"/>
      <c r="C283" s="78"/>
      <c r="D283" s="78"/>
      <c r="E283" s="78"/>
      <c r="F283" s="78"/>
      <c r="G283" s="78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</row>
    <row r="284" spans="1:26" ht="12.75" customHeight="1" x14ac:dyDescent="0.2">
      <c r="A284" s="78"/>
      <c r="B284" s="78"/>
      <c r="C284" s="78"/>
      <c r="D284" s="78"/>
      <c r="E284" s="78"/>
      <c r="F284" s="78"/>
      <c r="G284" s="78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  <c r="Z284" s="78"/>
    </row>
    <row r="285" spans="1:26" ht="12.75" customHeight="1" x14ac:dyDescent="0.2">
      <c r="A285" s="78"/>
      <c r="B285" s="78"/>
      <c r="C285" s="78"/>
      <c r="D285" s="78"/>
      <c r="E285" s="78"/>
      <c r="F285" s="78"/>
      <c r="G285" s="78"/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  <c r="W285" s="78"/>
      <c r="X285" s="78"/>
      <c r="Y285" s="78"/>
      <c r="Z285" s="78"/>
    </row>
    <row r="286" spans="1:26" ht="12.75" customHeight="1" x14ac:dyDescent="0.2">
      <c r="A286" s="78"/>
      <c r="B286" s="78"/>
      <c r="C286" s="78"/>
      <c r="D286" s="78"/>
      <c r="E286" s="78"/>
      <c r="F286" s="78"/>
      <c r="G286" s="78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8"/>
      <c r="Z286" s="78"/>
    </row>
    <row r="287" spans="1:26" ht="12.75" customHeight="1" x14ac:dyDescent="0.2">
      <c r="A287" s="78"/>
      <c r="B287" s="78"/>
      <c r="C287" s="78"/>
      <c r="D287" s="7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</row>
    <row r="288" spans="1:26" ht="12.75" customHeight="1" x14ac:dyDescent="0.2">
      <c r="A288" s="78"/>
      <c r="B288" s="78"/>
      <c r="C288" s="78"/>
      <c r="D288" s="78"/>
      <c r="E288" s="78"/>
      <c r="F288" s="78"/>
      <c r="G288" s="78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  <c r="Z288" s="78"/>
    </row>
    <row r="289" spans="1:26" ht="12.75" customHeight="1" x14ac:dyDescent="0.2">
      <c r="A289" s="78"/>
      <c r="B289" s="78"/>
      <c r="C289" s="78"/>
      <c r="D289" s="78"/>
      <c r="E289" s="78"/>
      <c r="F289" s="78"/>
      <c r="G289" s="78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  <c r="W289" s="78"/>
      <c r="X289" s="78"/>
      <c r="Y289" s="78"/>
      <c r="Z289" s="78"/>
    </row>
    <row r="290" spans="1:26" ht="12.75" customHeight="1" x14ac:dyDescent="0.2">
      <c r="A290" s="78"/>
      <c r="B290" s="78"/>
      <c r="C290" s="78"/>
      <c r="D290" s="78"/>
      <c r="E290" s="78"/>
      <c r="F290" s="78"/>
      <c r="G290" s="78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  <c r="X290" s="78"/>
      <c r="Y290" s="78"/>
      <c r="Z290" s="78"/>
    </row>
    <row r="291" spans="1:26" ht="12.75" customHeight="1" x14ac:dyDescent="0.2">
      <c r="A291" s="78"/>
      <c r="B291" s="78"/>
      <c r="C291" s="78"/>
      <c r="D291" s="78"/>
      <c r="E291" s="78"/>
      <c r="F291" s="78"/>
      <c r="G291" s="78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  <c r="Z291" s="78"/>
    </row>
    <row r="292" spans="1:26" ht="12.75" customHeight="1" x14ac:dyDescent="0.2">
      <c r="A292" s="78"/>
      <c r="B292" s="78"/>
      <c r="C292" s="78"/>
      <c r="D292" s="78"/>
      <c r="E292" s="78"/>
      <c r="F292" s="78"/>
      <c r="G292" s="78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8"/>
      <c r="Z292" s="78"/>
    </row>
    <row r="293" spans="1:26" ht="12.75" customHeight="1" x14ac:dyDescent="0.2">
      <c r="A293" s="78"/>
      <c r="B293" s="78"/>
      <c r="C293" s="78"/>
      <c r="D293" s="78"/>
      <c r="E293" s="78"/>
      <c r="F293" s="78"/>
      <c r="G293" s="78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  <c r="Z293" s="78"/>
    </row>
    <row r="294" spans="1:26" ht="12.75" customHeight="1" x14ac:dyDescent="0.2">
      <c r="A294" s="78"/>
      <c r="B294" s="78"/>
      <c r="C294" s="78"/>
      <c r="D294" s="78"/>
      <c r="E294" s="78"/>
      <c r="F294" s="78"/>
      <c r="G294" s="78"/>
      <c r="H294" s="78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  <c r="W294" s="78"/>
      <c r="X294" s="78"/>
      <c r="Y294" s="78"/>
      <c r="Z294" s="78"/>
    </row>
    <row r="295" spans="1:26" ht="12.75" customHeight="1" x14ac:dyDescent="0.2">
      <c r="A295" s="78"/>
      <c r="B295" s="78"/>
      <c r="C295" s="78"/>
      <c r="D295" s="78"/>
      <c r="E295" s="78"/>
      <c r="F295" s="78"/>
      <c r="G295" s="78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8"/>
      <c r="Z295" s="78"/>
    </row>
    <row r="296" spans="1:26" ht="12.75" customHeight="1" x14ac:dyDescent="0.2">
      <c r="A296" s="78"/>
      <c r="B296" s="78"/>
      <c r="C296" s="78"/>
      <c r="D296" s="78"/>
      <c r="E296" s="78"/>
      <c r="F296" s="78"/>
      <c r="G296" s="78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8"/>
      <c r="Z296" s="78"/>
    </row>
    <row r="297" spans="1:26" ht="12.75" customHeight="1" x14ac:dyDescent="0.2">
      <c r="A297" s="78"/>
      <c r="B297" s="78"/>
      <c r="C297" s="78"/>
      <c r="D297" s="78"/>
      <c r="E297" s="78"/>
      <c r="F297" s="78"/>
      <c r="G297" s="78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  <c r="Z297" s="78"/>
    </row>
    <row r="298" spans="1:26" ht="12.75" customHeight="1" x14ac:dyDescent="0.2">
      <c r="A298" s="78"/>
      <c r="B298" s="78"/>
      <c r="C298" s="78"/>
      <c r="D298" s="78"/>
      <c r="E298" s="78"/>
      <c r="F298" s="78"/>
      <c r="G298" s="78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  <c r="Z298" s="78"/>
    </row>
    <row r="299" spans="1:26" ht="12.75" customHeight="1" x14ac:dyDescent="0.2">
      <c r="A299" s="78"/>
      <c r="B299" s="78"/>
      <c r="C299" s="78"/>
      <c r="D299" s="78"/>
      <c r="E299" s="78"/>
      <c r="F299" s="78"/>
      <c r="G299" s="78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  <c r="Z299" s="78"/>
    </row>
    <row r="300" spans="1:26" ht="12.75" customHeight="1" x14ac:dyDescent="0.2">
      <c r="A300" s="78"/>
      <c r="B300" s="78"/>
      <c r="C300" s="78"/>
      <c r="D300" s="78"/>
      <c r="E300" s="78"/>
      <c r="F300" s="78"/>
      <c r="G300" s="78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  <c r="Z300" s="78"/>
    </row>
    <row r="301" spans="1:26" ht="12.75" customHeight="1" x14ac:dyDescent="0.2">
      <c r="A301" s="78"/>
      <c r="B301" s="78"/>
      <c r="C301" s="78"/>
      <c r="D301" s="78"/>
      <c r="E301" s="78"/>
      <c r="F301" s="78"/>
      <c r="G301" s="78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  <c r="Z301" s="78"/>
    </row>
    <row r="302" spans="1:26" ht="12.75" customHeight="1" x14ac:dyDescent="0.2">
      <c r="A302" s="78"/>
      <c r="B302" s="78"/>
      <c r="C302" s="78"/>
      <c r="D302" s="78"/>
      <c r="E302" s="78"/>
      <c r="F302" s="78"/>
      <c r="G302" s="78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  <c r="Z302" s="78"/>
    </row>
    <row r="303" spans="1:26" ht="12.75" customHeight="1" x14ac:dyDescent="0.2">
      <c r="A303" s="78"/>
      <c r="B303" s="78"/>
      <c r="C303" s="78"/>
      <c r="D303" s="78"/>
      <c r="E303" s="78"/>
      <c r="F303" s="78"/>
      <c r="G303" s="78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  <c r="Z303" s="78"/>
    </row>
    <row r="304" spans="1:26" ht="12.75" customHeight="1" x14ac:dyDescent="0.2">
      <c r="A304" s="78"/>
      <c r="B304" s="78"/>
      <c r="C304" s="78"/>
      <c r="D304" s="78"/>
      <c r="E304" s="78"/>
      <c r="F304" s="78"/>
      <c r="G304" s="78"/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8"/>
      <c r="Z304" s="78"/>
    </row>
    <row r="305" spans="1:26" ht="12.75" customHeight="1" x14ac:dyDescent="0.2">
      <c r="A305" s="78"/>
      <c r="B305" s="78"/>
      <c r="C305" s="78"/>
      <c r="D305" s="78"/>
      <c r="E305" s="78"/>
      <c r="F305" s="78"/>
      <c r="G305" s="78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  <c r="Z305" s="78"/>
    </row>
    <row r="306" spans="1:26" ht="12.75" customHeight="1" x14ac:dyDescent="0.2">
      <c r="A306" s="78"/>
      <c r="B306" s="78"/>
      <c r="C306" s="78"/>
      <c r="D306" s="78"/>
      <c r="E306" s="78"/>
      <c r="F306" s="78"/>
      <c r="G306" s="78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  <c r="Z306" s="78"/>
    </row>
    <row r="307" spans="1:26" ht="12.75" customHeight="1" x14ac:dyDescent="0.2">
      <c r="A307" s="78"/>
      <c r="B307" s="78"/>
      <c r="C307" s="78"/>
      <c r="D307" s="78"/>
      <c r="E307" s="78"/>
      <c r="F307" s="78"/>
      <c r="G307" s="78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  <c r="Z307" s="78"/>
    </row>
    <row r="308" spans="1:26" ht="12.75" customHeight="1" x14ac:dyDescent="0.2">
      <c r="A308" s="78"/>
      <c r="B308" s="78"/>
      <c r="C308" s="78"/>
      <c r="D308" s="78"/>
      <c r="E308" s="78"/>
      <c r="F308" s="78"/>
      <c r="G308" s="78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  <c r="Z308" s="78"/>
    </row>
    <row r="309" spans="1:26" ht="12.75" customHeight="1" x14ac:dyDescent="0.2">
      <c r="A309" s="78"/>
      <c r="B309" s="78"/>
      <c r="C309" s="78"/>
      <c r="D309" s="78"/>
      <c r="E309" s="78"/>
      <c r="F309" s="78"/>
      <c r="G309" s="78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  <c r="Z309" s="78"/>
    </row>
    <row r="310" spans="1:26" ht="12.75" customHeight="1" x14ac:dyDescent="0.2">
      <c r="A310" s="78"/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</row>
    <row r="311" spans="1:26" ht="12.75" customHeight="1" x14ac:dyDescent="0.2">
      <c r="A311" s="78"/>
      <c r="B311" s="78"/>
      <c r="C311" s="78"/>
      <c r="D311" s="78"/>
      <c r="E311" s="78"/>
      <c r="F311" s="78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</row>
    <row r="312" spans="1:26" ht="12.75" customHeight="1" x14ac:dyDescent="0.2">
      <c r="A312" s="78"/>
      <c r="B312" s="78"/>
      <c r="C312" s="78"/>
      <c r="D312" s="78"/>
      <c r="E312" s="78"/>
      <c r="F312" s="78"/>
      <c r="G312" s="78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8"/>
    </row>
    <row r="313" spans="1:26" ht="12.75" customHeight="1" x14ac:dyDescent="0.2">
      <c r="A313" s="78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</row>
    <row r="314" spans="1:26" ht="12.75" customHeight="1" x14ac:dyDescent="0.2">
      <c r="A314" s="78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</row>
    <row r="315" spans="1:26" ht="12.75" customHeight="1" x14ac:dyDescent="0.2">
      <c r="A315" s="78"/>
      <c r="B315" s="78"/>
      <c r="C315" s="78"/>
      <c r="D315" s="78"/>
      <c r="E315" s="78"/>
      <c r="F315" s="78"/>
      <c r="G315" s="78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  <c r="Z315" s="78"/>
    </row>
    <row r="316" spans="1:26" ht="12.75" customHeight="1" x14ac:dyDescent="0.2">
      <c r="A316" s="78"/>
      <c r="B316" s="78"/>
      <c r="C316" s="78"/>
      <c r="D316" s="78"/>
      <c r="E316" s="78"/>
      <c r="F316" s="78"/>
      <c r="G316" s="78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  <c r="Z316" s="78"/>
    </row>
    <row r="317" spans="1:26" ht="12.75" customHeight="1" x14ac:dyDescent="0.2">
      <c r="A317" s="78"/>
      <c r="B317" s="78"/>
      <c r="C317" s="78"/>
      <c r="D317" s="78"/>
      <c r="E317" s="78"/>
      <c r="F317" s="78"/>
      <c r="G317" s="78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  <c r="Z317" s="78"/>
    </row>
    <row r="318" spans="1:26" ht="12.75" customHeight="1" x14ac:dyDescent="0.2">
      <c r="A318" s="78"/>
      <c r="B318" s="78"/>
      <c r="C318" s="78"/>
      <c r="D318" s="78"/>
      <c r="E318" s="78"/>
      <c r="F318" s="78"/>
      <c r="G318" s="78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  <c r="Z318" s="78"/>
    </row>
    <row r="319" spans="1:26" ht="12.75" customHeight="1" x14ac:dyDescent="0.2">
      <c r="A319" s="78"/>
      <c r="B319" s="78"/>
      <c r="C319" s="78"/>
      <c r="D319" s="78"/>
      <c r="E319" s="78"/>
      <c r="F319" s="78"/>
      <c r="G319" s="78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  <c r="Z319" s="78"/>
    </row>
    <row r="320" spans="1:26" ht="12.75" customHeight="1" x14ac:dyDescent="0.2">
      <c r="A320" s="78"/>
      <c r="B320" s="78"/>
      <c r="C320" s="78"/>
      <c r="D320" s="78"/>
      <c r="E320" s="78"/>
      <c r="F320" s="78"/>
      <c r="G320" s="78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  <c r="Z320" s="78"/>
    </row>
    <row r="321" spans="1:26" ht="12.75" customHeight="1" x14ac:dyDescent="0.2">
      <c r="A321" s="78"/>
      <c r="B321" s="78"/>
      <c r="C321" s="78"/>
      <c r="D321" s="78"/>
      <c r="E321" s="78"/>
      <c r="F321" s="78"/>
      <c r="G321" s="78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  <c r="Z321" s="78"/>
    </row>
    <row r="322" spans="1:26" ht="12.75" customHeight="1" x14ac:dyDescent="0.2">
      <c r="A322" s="78"/>
      <c r="B322" s="78"/>
      <c r="C322" s="78"/>
      <c r="D322" s="78"/>
      <c r="E322" s="78"/>
      <c r="F322" s="78"/>
      <c r="G322" s="78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</row>
    <row r="323" spans="1:26" ht="12.75" customHeight="1" x14ac:dyDescent="0.2">
      <c r="A323" s="78"/>
      <c r="B323" s="78"/>
      <c r="C323" s="78"/>
      <c r="D323" s="78"/>
      <c r="E323" s="78"/>
      <c r="F323" s="78"/>
      <c r="G323" s="78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</row>
    <row r="324" spans="1:26" ht="12.75" customHeight="1" x14ac:dyDescent="0.2">
      <c r="A324" s="78"/>
      <c r="B324" s="78"/>
      <c r="C324" s="78"/>
      <c r="D324" s="78"/>
      <c r="E324" s="78"/>
      <c r="F324" s="78"/>
      <c r="G324" s="78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</row>
    <row r="325" spans="1:26" ht="12.75" customHeight="1" x14ac:dyDescent="0.2">
      <c r="A325" s="78"/>
      <c r="B325" s="78"/>
      <c r="C325" s="78"/>
      <c r="D325" s="78"/>
      <c r="E325" s="78"/>
      <c r="F325" s="78"/>
      <c r="G325" s="78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  <c r="Z325" s="78"/>
    </row>
    <row r="326" spans="1:26" ht="12.75" customHeight="1" x14ac:dyDescent="0.2">
      <c r="A326" s="78"/>
      <c r="B326" s="78"/>
      <c r="C326" s="78"/>
      <c r="D326" s="78"/>
      <c r="E326" s="78"/>
      <c r="F326" s="78"/>
      <c r="G326" s="78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  <c r="Z326" s="78"/>
    </row>
    <row r="327" spans="1:26" ht="12.75" customHeight="1" x14ac:dyDescent="0.2">
      <c r="A327" s="78"/>
      <c r="B327" s="78"/>
      <c r="C327" s="78"/>
      <c r="D327" s="78"/>
      <c r="E327" s="78"/>
      <c r="F327" s="78"/>
      <c r="G327" s="78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</row>
    <row r="328" spans="1:26" ht="12.75" customHeight="1" x14ac:dyDescent="0.2">
      <c r="A328" s="78"/>
      <c r="B328" s="78"/>
      <c r="C328" s="78"/>
      <c r="D328" s="78"/>
      <c r="E328" s="78"/>
      <c r="F328" s="78"/>
      <c r="G328" s="78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</row>
    <row r="329" spans="1:26" ht="12.75" customHeight="1" x14ac:dyDescent="0.2">
      <c r="A329" s="78"/>
      <c r="B329" s="78"/>
      <c r="C329" s="78"/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</row>
    <row r="330" spans="1:26" ht="12.75" customHeight="1" x14ac:dyDescent="0.2">
      <c r="A330" s="78"/>
      <c r="B330" s="78"/>
      <c r="C330" s="78"/>
      <c r="D330" s="78"/>
      <c r="E330" s="78"/>
      <c r="F330" s="78"/>
      <c r="G330" s="78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</row>
    <row r="331" spans="1:26" ht="12.75" customHeight="1" x14ac:dyDescent="0.2">
      <c r="A331" s="78"/>
      <c r="B331" s="78"/>
      <c r="C331" s="78"/>
      <c r="D331" s="78"/>
      <c r="E331" s="78"/>
      <c r="F331" s="78"/>
      <c r="G331" s="78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</row>
    <row r="332" spans="1:26" ht="12.75" customHeight="1" x14ac:dyDescent="0.2">
      <c r="A332" s="78"/>
      <c r="B332" s="78"/>
      <c r="C332" s="78"/>
      <c r="D332" s="78"/>
      <c r="E332" s="78"/>
      <c r="F332" s="78"/>
      <c r="G332" s="78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</row>
    <row r="333" spans="1:26" ht="12.75" customHeight="1" x14ac:dyDescent="0.2">
      <c r="A333" s="78"/>
      <c r="B333" s="78"/>
      <c r="C333" s="78"/>
      <c r="D333" s="78"/>
      <c r="E333" s="78"/>
      <c r="F333" s="78"/>
      <c r="G333" s="78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  <c r="Z333" s="78"/>
    </row>
    <row r="334" spans="1:26" ht="12.75" customHeight="1" x14ac:dyDescent="0.2">
      <c r="A334" s="78"/>
      <c r="B334" s="78"/>
      <c r="C334" s="78"/>
      <c r="D334" s="78"/>
      <c r="E334" s="78"/>
      <c r="F334" s="78"/>
      <c r="G334" s="78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</row>
    <row r="335" spans="1:26" ht="12.75" customHeight="1" x14ac:dyDescent="0.2">
      <c r="A335" s="78"/>
      <c r="B335" s="78"/>
      <c r="C335" s="78"/>
      <c r="D335" s="78"/>
      <c r="E335" s="78"/>
      <c r="F335" s="78"/>
      <c r="G335" s="78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  <c r="Z335" s="78"/>
    </row>
    <row r="336" spans="1:26" ht="12.75" customHeight="1" x14ac:dyDescent="0.2">
      <c r="A336" s="78"/>
      <c r="B336" s="78"/>
      <c r="C336" s="78"/>
      <c r="D336" s="78"/>
      <c r="E336" s="78"/>
      <c r="F336" s="78"/>
      <c r="G336" s="78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</row>
    <row r="337" spans="1:26" ht="12.75" customHeight="1" x14ac:dyDescent="0.2">
      <c r="A337" s="78"/>
      <c r="B337" s="78"/>
      <c r="C337" s="78"/>
      <c r="D337" s="78"/>
      <c r="E337" s="78"/>
      <c r="F337" s="78"/>
      <c r="G337" s="78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  <c r="Z337" s="78"/>
    </row>
    <row r="338" spans="1:26" ht="12.75" customHeight="1" x14ac:dyDescent="0.2">
      <c r="A338" s="78"/>
      <c r="B338" s="78"/>
      <c r="C338" s="78"/>
      <c r="D338" s="78"/>
      <c r="E338" s="78"/>
      <c r="F338" s="78"/>
      <c r="G338" s="78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</row>
    <row r="339" spans="1:26" ht="12.75" customHeight="1" x14ac:dyDescent="0.2">
      <c r="A339" s="78"/>
      <c r="B339" s="78"/>
      <c r="C339" s="78"/>
      <c r="D339" s="78"/>
      <c r="E339" s="78"/>
      <c r="F339" s="78"/>
      <c r="G339" s="78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</row>
    <row r="340" spans="1:26" ht="12.75" customHeight="1" x14ac:dyDescent="0.2">
      <c r="A340" s="78"/>
      <c r="B340" s="78"/>
      <c r="C340" s="78"/>
      <c r="D340" s="78"/>
      <c r="E340" s="78"/>
      <c r="F340" s="78"/>
      <c r="G340" s="78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</row>
    <row r="341" spans="1:26" ht="12.75" customHeight="1" x14ac:dyDescent="0.2">
      <c r="A341" s="78"/>
      <c r="B341" s="78"/>
      <c r="C341" s="78"/>
      <c r="D341" s="78"/>
      <c r="E341" s="78"/>
      <c r="F341" s="78"/>
      <c r="G341" s="78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  <c r="Z341" s="78"/>
    </row>
    <row r="342" spans="1:26" ht="12.75" customHeight="1" x14ac:dyDescent="0.2">
      <c r="A342" s="78"/>
      <c r="B342" s="78"/>
      <c r="C342" s="78"/>
      <c r="D342" s="78"/>
      <c r="E342" s="78"/>
      <c r="F342" s="78"/>
      <c r="G342" s="78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</row>
    <row r="343" spans="1:26" ht="12.75" customHeight="1" x14ac:dyDescent="0.2">
      <c r="A343" s="78"/>
      <c r="B343" s="78"/>
      <c r="C343" s="78"/>
      <c r="D343" s="78"/>
      <c r="E343" s="78"/>
      <c r="F343" s="78"/>
      <c r="G343" s="78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</row>
    <row r="344" spans="1:26" ht="12.75" customHeight="1" x14ac:dyDescent="0.2">
      <c r="A344" s="78"/>
      <c r="B344" s="78"/>
      <c r="C344" s="78"/>
      <c r="D344" s="78"/>
      <c r="E344" s="78"/>
      <c r="F344" s="78"/>
      <c r="G344" s="78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</row>
    <row r="345" spans="1:26" ht="12.75" customHeight="1" x14ac:dyDescent="0.2">
      <c r="A345" s="78"/>
      <c r="B345" s="78"/>
      <c r="C345" s="78"/>
      <c r="D345" s="78"/>
      <c r="E345" s="78"/>
      <c r="F345" s="78"/>
      <c r="G345" s="78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</row>
    <row r="346" spans="1:26" ht="12.75" customHeight="1" x14ac:dyDescent="0.2">
      <c r="A346" s="78"/>
      <c r="B346" s="78"/>
      <c r="C346" s="78"/>
      <c r="D346" s="78"/>
      <c r="E346" s="78"/>
      <c r="F346" s="78"/>
      <c r="G346" s="78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</row>
    <row r="347" spans="1:26" ht="12.75" customHeight="1" x14ac:dyDescent="0.2">
      <c r="A347" s="78"/>
      <c r="B347" s="78"/>
      <c r="C347" s="78"/>
      <c r="D347" s="78"/>
      <c r="E347" s="78"/>
      <c r="F347" s="78"/>
      <c r="G347" s="78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</row>
    <row r="348" spans="1:26" ht="12.75" customHeight="1" x14ac:dyDescent="0.2">
      <c r="A348" s="78"/>
      <c r="B348" s="78"/>
      <c r="C348" s="78"/>
      <c r="D348" s="78"/>
      <c r="E348" s="78"/>
      <c r="F348" s="78"/>
      <c r="G348" s="78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</row>
    <row r="349" spans="1:26" ht="12.75" customHeight="1" x14ac:dyDescent="0.2">
      <c r="A349" s="78"/>
      <c r="B349" s="78"/>
      <c r="C349" s="78"/>
      <c r="D349" s="78"/>
      <c r="E349" s="78"/>
      <c r="F349" s="78"/>
      <c r="G349" s="78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</row>
    <row r="350" spans="1:26" ht="12.75" customHeight="1" x14ac:dyDescent="0.2">
      <c r="A350" s="78"/>
      <c r="B350" s="78"/>
      <c r="C350" s="78"/>
      <c r="D350" s="78"/>
      <c r="E350" s="78"/>
      <c r="F350" s="78"/>
      <c r="G350" s="78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</row>
    <row r="351" spans="1:26" ht="12.75" customHeight="1" x14ac:dyDescent="0.2">
      <c r="A351" s="78"/>
      <c r="B351" s="78"/>
      <c r="C351" s="78"/>
      <c r="D351" s="78"/>
      <c r="E351" s="78"/>
      <c r="F351" s="78"/>
      <c r="G351" s="78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</row>
    <row r="352" spans="1:26" ht="12.75" customHeight="1" x14ac:dyDescent="0.2">
      <c r="A352" s="78"/>
      <c r="B352" s="78"/>
      <c r="C352" s="78"/>
      <c r="D352" s="78"/>
      <c r="E352" s="78"/>
      <c r="F352" s="78"/>
      <c r="G352" s="78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</row>
    <row r="353" spans="1:26" ht="12.75" customHeight="1" x14ac:dyDescent="0.2">
      <c r="A353" s="78"/>
      <c r="B353" s="78"/>
      <c r="C353" s="78"/>
      <c r="D353" s="78"/>
      <c r="E353" s="78"/>
      <c r="F353" s="78"/>
      <c r="G353" s="78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</row>
    <row r="354" spans="1:26" ht="12.75" customHeight="1" x14ac:dyDescent="0.2">
      <c r="A354" s="78"/>
      <c r="B354" s="78"/>
      <c r="C354" s="78"/>
      <c r="D354" s="78"/>
      <c r="E354" s="78"/>
      <c r="F354" s="78"/>
      <c r="G354" s="78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</row>
    <row r="355" spans="1:26" ht="12.75" customHeight="1" x14ac:dyDescent="0.2">
      <c r="A355" s="78"/>
      <c r="B355" s="78"/>
      <c r="C355" s="78"/>
      <c r="D355" s="78"/>
      <c r="E355" s="78"/>
      <c r="F355" s="78"/>
      <c r="G355" s="78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</row>
    <row r="356" spans="1:26" ht="12.75" customHeight="1" x14ac:dyDescent="0.2">
      <c r="A356" s="78"/>
      <c r="B356" s="78"/>
      <c r="C356" s="78"/>
      <c r="D356" s="78"/>
      <c r="E356" s="78"/>
      <c r="F356" s="78"/>
      <c r="G356" s="78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  <c r="Z356" s="78"/>
    </row>
    <row r="357" spans="1:26" ht="12.75" customHeight="1" x14ac:dyDescent="0.2">
      <c r="A357" s="78"/>
      <c r="B357" s="78"/>
      <c r="C357" s="78"/>
      <c r="D357" s="78"/>
      <c r="E357" s="78"/>
      <c r="F357" s="78"/>
      <c r="G357" s="78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</row>
    <row r="358" spans="1:26" ht="12.75" customHeight="1" x14ac:dyDescent="0.2">
      <c r="A358" s="78"/>
      <c r="B358" s="78"/>
      <c r="C358" s="78"/>
      <c r="D358" s="78"/>
      <c r="E358" s="78"/>
      <c r="F358" s="78"/>
      <c r="G358" s="78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</row>
    <row r="359" spans="1:26" ht="12.75" customHeight="1" x14ac:dyDescent="0.2">
      <c r="A359" s="78"/>
      <c r="B359" s="78"/>
      <c r="C359" s="78"/>
      <c r="D359" s="78"/>
      <c r="E359" s="78"/>
      <c r="F359" s="78"/>
      <c r="G359" s="78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</row>
    <row r="360" spans="1:26" ht="12.75" customHeight="1" x14ac:dyDescent="0.2">
      <c r="A360" s="78"/>
      <c r="B360" s="78"/>
      <c r="C360" s="78"/>
      <c r="D360" s="78"/>
      <c r="E360" s="78"/>
      <c r="F360" s="78"/>
      <c r="G360" s="78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</row>
    <row r="361" spans="1:26" ht="12.75" customHeight="1" x14ac:dyDescent="0.2">
      <c r="A361" s="78"/>
      <c r="B361" s="78"/>
      <c r="C361" s="78"/>
      <c r="D361" s="78"/>
      <c r="E361" s="78"/>
      <c r="F361" s="78"/>
      <c r="G361" s="78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</row>
    <row r="362" spans="1:26" ht="12.75" customHeight="1" x14ac:dyDescent="0.2">
      <c r="A362" s="78"/>
      <c r="B362" s="78"/>
      <c r="C362" s="78"/>
      <c r="D362" s="78"/>
      <c r="E362" s="78"/>
      <c r="F362" s="78"/>
      <c r="G362" s="78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</row>
    <row r="363" spans="1:26" ht="12.75" customHeight="1" x14ac:dyDescent="0.2">
      <c r="A363" s="78"/>
      <c r="B363" s="78"/>
      <c r="C363" s="78"/>
      <c r="D363" s="78"/>
      <c r="E363" s="78"/>
      <c r="F363" s="78"/>
      <c r="G363" s="78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</row>
    <row r="364" spans="1:26" ht="12.75" customHeight="1" x14ac:dyDescent="0.2">
      <c r="A364" s="78"/>
      <c r="B364" s="78"/>
      <c r="C364" s="78"/>
      <c r="D364" s="78"/>
      <c r="E364" s="78"/>
      <c r="F364" s="78"/>
      <c r="G364" s="78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</row>
    <row r="365" spans="1:26" ht="12.75" customHeight="1" x14ac:dyDescent="0.2">
      <c r="A365" s="78"/>
      <c r="B365" s="78"/>
      <c r="C365" s="78"/>
      <c r="D365" s="78"/>
      <c r="E365" s="78"/>
      <c r="F365" s="78"/>
      <c r="G365" s="78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</row>
    <row r="366" spans="1:26" ht="12.75" customHeight="1" x14ac:dyDescent="0.2">
      <c r="A366" s="78"/>
      <c r="B366" s="78"/>
      <c r="C366" s="78"/>
      <c r="D366" s="78"/>
      <c r="E366" s="78"/>
      <c r="F366" s="78"/>
      <c r="G366" s="78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</row>
    <row r="367" spans="1:26" ht="12.75" customHeight="1" x14ac:dyDescent="0.2">
      <c r="A367" s="78"/>
      <c r="B367" s="78"/>
      <c r="C367" s="78"/>
      <c r="D367" s="78"/>
      <c r="E367" s="78"/>
      <c r="F367" s="78"/>
      <c r="G367" s="78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  <c r="Z367" s="78"/>
    </row>
    <row r="368" spans="1:26" ht="12.75" customHeight="1" x14ac:dyDescent="0.2">
      <c r="A368" s="78"/>
      <c r="B368" s="78"/>
      <c r="C368" s="78"/>
      <c r="D368" s="78"/>
      <c r="E368" s="78"/>
      <c r="F368" s="78"/>
      <c r="G368" s="78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  <c r="Z368" s="78"/>
    </row>
    <row r="369" spans="1:26" ht="12.75" customHeight="1" x14ac:dyDescent="0.2">
      <c r="A369" s="78"/>
      <c r="B369" s="78"/>
      <c r="C369" s="78"/>
      <c r="D369" s="78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</row>
    <row r="370" spans="1:26" ht="12.75" customHeight="1" x14ac:dyDescent="0.2">
      <c r="A370" s="78"/>
      <c r="B370" s="78"/>
      <c r="C370" s="78"/>
      <c r="D370" s="78"/>
      <c r="E370" s="78"/>
      <c r="F370" s="78"/>
      <c r="G370" s="78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  <c r="Z370" s="78"/>
    </row>
    <row r="371" spans="1:26" ht="12.75" customHeight="1" x14ac:dyDescent="0.2">
      <c r="A371" s="78"/>
      <c r="B371" s="78"/>
      <c r="C371" s="78"/>
      <c r="D371" s="78"/>
      <c r="E371" s="78"/>
      <c r="F371" s="78"/>
      <c r="G371" s="78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  <c r="Z371" s="78"/>
    </row>
    <row r="372" spans="1:26" ht="12.75" customHeight="1" x14ac:dyDescent="0.2">
      <c r="A372" s="78"/>
      <c r="B372" s="78"/>
      <c r="C372" s="78"/>
      <c r="D372" s="78"/>
      <c r="E372" s="78"/>
      <c r="F372" s="78"/>
      <c r="G372" s="78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  <c r="Z372" s="78"/>
    </row>
    <row r="373" spans="1:26" ht="12.75" customHeight="1" x14ac:dyDescent="0.2">
      <c r="A373" s="78"/>
      <c r="B373" s="78"/>
      <c r="C373" s="78"/>
      <c r="D373" s="78"/>
      <c r="E373" s="78"/>
      <c r="F373" s="78"/>
      <c r="G373" s="78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  <c r="Z373" s="78"/>
    </row>
    <row r="374" spans="1:26" ht="12.75" customHeight="1" x14ac:dyDescent="0.2">
      <c r="A374" s="78"/>
      <c r="B374" s="78"/>
      <c r="C374" s="78"/>
      <c r="D374" s="78"/>
      <c r="E374" s="78"/>
      <c r="F374" s="78"/>
      <c r="G374" s="78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  <c r="Z374" s="78"/>
    </row>
    <row r="375" spans="1:26" ht="12.75" customHeight="1" x14ac:dyDescent="0.2">
      <c r="A375" s="78"/>
      <c r="B375" s="78"/>
      <c r="C375" s="78"/>
      <c r="D375" s="78"/>
      <c r="E375" s="78"/>
      <c r="F375" s="78"/>
      <c r="G375" s="78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  <c r="Z375" s="78"/>
    </row>
    <row r="376" spans="1:26" ht="12.75" customHeight="1" x14ac:dyDescent="0.2">
      <c r="A376" s="78"/>
      <c r="B376" s="78"/>
      <c r="C376" s="78"/>
      <c r="D376" s="78"/>
      <c r="E376" s="78"/>
      <c r="F376" s="78"/>
      <c r="G376" s="78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  <c r="Z376" s="78"/>
    </row>
    <row r="377" spans="1:26" ht="12.75" customHeight="1" x14ac:dyDescent="0.2">
      <c r="A377" s="78"/>
      <c r="B377" s="78"/>
      <c r="C377" s="78"/>
      <c r="D377" s="78"/>
      <c r="E377" s="78"/>
      <c r="F377" s="78"/>
      <c r="G377" s="78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  <c r="Z377" s="78"/>
    </row>
    <row r="378" spans="1:26" ht="12.75" customHeight="1" x14ac:dyDescent="0.2">
      <c r="A378" s="78"/>
      <c r="B378" s="78"/>
      <c r="C378" s="78"/>
      <c r="D378" s="78"/>
      <c r="E378" s="78"/>
      <c r="F378" s="78"/>
      <c r="G378" s="78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  <c r="Z378" s="78"/>
    </row>
    <row r="379" spans="1:26" ht="12.75" customHeight="1" x14ac:dyDescent="0.2">
      <c r="A379" s="78"/>
      <c r="B379" s="78"/>
      <c r="C379" s="78"/>
      <c r="D379" s="78"/>
      <c r="E379" s="78"/>
      <c r="F379" s="78"/>
      <c r="G379" s="78"/>
      <c r="H379" s="78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  <c r="Z379" s="78"/>
    </row>
    <row r="380" spans="1:26" ht="12.75" customHeight="1" x14ac:dyDescent="0.2">
      <c r="A380" s="78"/>
      <c r="B380" s="78"/>
      <c r="C380" s="78"/>
      <c r="D380" s="78"/>
      <c r="E380" s="78"/>
      <c r="F380" s="78"/>
      <c r="G380" s="78"/>
      <c r="H380" s="78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  <c r="Z380" s="78"/>
    </row>
    <row r="381" spans="1:26" ht="12.75" customHeight="1" x14ac:dyDescent="0.2">
      <c r="A381" s="78"/>
      <c r="B381" s="78"/>
      <c r="C381" s="78"/>
      <c r="D381" s="78"/>
      <c r="E381" s="78"/>
      <c r="F381" s="78"/>
      <c r="G381" s="78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  <c r="Z381" s="78"/>
    </row>
    <row r="382" spans="1:26" ht="12.75" customHeight="1" x14ac:dyDescent="0.2">
      <c r="A382" s="78"/>
      <c r="B382" s="78"/>
      <c r="C382" s="78"/>
      <c r="D382" s="78"/>
      <c r="E382" s="78"/>
      <c r="F382" s="78"/>
      <c r="G382" s="78"/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  <c r="Z382" s="78"/>
    </row>
    <row r="383" spans="1:26" ht="12.75" customHeight="1" x14ac:dyDescent="0.2">
      <c r="A383" s="78"/>
      <c r="B383" s="78"/>
      <c r="C383" s="78"/>
      <c r="D383" s="78"/>
      <c r="E383" s="78"/>
      <c r="F383" s="78"/>
      <c r="G383" s="78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  <c r="Z383" s="78"/>
    </row>
    <row r="384" spans="1:26" ht="12.75" customHeight="1" x14ac:dyDescent="0.2">
      <c r="A384" s="78"/>
      <c r="B384" s="78"/>
      <c r="C384" s="78"/>
      <c r="D384" s="78"/>
      <c r="E384" s="78"/>
      <c r="F384" s="78"/>
      <c r="G384" s="78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  <c r="Z384" s="78"/>
    </row>
    <row r="385" spans="1:26" ht="12.75" customHeight="1" x14ac:dyDescent="0.2">
      <c r="A385" s="78"/>
      <c r="B385" s="78"/>
      <c r="C385" s="78"/>
      <c r="D385" s="78"/>
      <c r="E385" s="78"/>
      <c r="F385" s="78"/>
      <c r="G385" s="78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  <c r="Z385" s="78"/>
    </row>
    <row r="386" spans="1:26" ht="12.75" customHeight="1" x14ac:dyDescent="0.2">
      <c r="A386" s="78"/>
      <c r="B386" s="78"/>
      <c r="C386" s="78"/>
      <c r="D386" s="78"/>
      <c r="E386" s="78"/>
      <c r="F386" s="78"/>
      <c r="G386" s="78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  <c r="Z386" s="78"/>
    </row>
    <row r="387" spans="1:26" ht="12.75" customHeight="1" x14ac:dyDescent="0.2">
      <c r="A387" s="78"/>
      <c r="B387" s="78"/>
      <c r="C387" s="78"/>
      <c r="D387" s="78"/>
      <c r="E387" s="78"/>
      <c r="F387" s="78"/>
      <c r="G387" s="78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  <c r="Z387" s="78"/>
    </row>
    <row r="388" spans="1:26" ht="12.75" customHeight="1" x14ac:dyDescent="0.2">
      <c r="A388" s="78"/>
      <c r="B388" s="78"/>
      <c r="C388" s="78"/>
      <c r="D388" s="78"/>
      <c r="E388" s="78"/>
      <c r="F388" s="78"/>
      <c r="G388" s="78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  <c r="Z388" s="78"/>
    </row>
    <row r="389" spans="1:26" ht="12.75" customHeight="1" x14ac:dyDescent="0.2">
      <c r="A389" s="78"/>
      <c r="B389" s="78"/>
      <c r="C389" s="78"/>
      <c r="D389" s="78"/>
      <c r="E389" s="78"/>
      <c r="F389" s="78"/>
      <c r="G389" s="78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  <c r="Z389" s="78"/>
    </row>
    <row r="390" spans="1:26" ht="12.75" customHeight="1" x14ac:dyDescent="0.2">
      <c r="A390" s="78"/>
      <c r="B390" s="78"/>
      <c r="C390" s="78"/>
      <c r="D390" s="78"/>
      <c r="E390" s="78"/>
      <c r="F390" s="78"/>
      <c r="G390" s="78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  <c r="Z390" s="78"/>
    </row>
    <row r="391" spans="1:26" ht="12.75" customHeight="1" x14ac:dyDescent="0.2">
      <c r="A391" s="78"/>
      <c r="B391" s="78"/>
      <c r="C391" s="78"/>
      <c r="D391" s="78"/>
      <c r="E391" s="78"/>
      <c r="F391" s="78"/>
      <c r="G391" s="78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  <c r="Z391" s="78"/>
    </row>
    <row r="392" spans="1:26" ht="12.75" customHeight="1" x14ac:dyDescent="0.2">
      <c r="A392" s="78"/>
      <c r="B392" s="78"/>
      <c r="C392" s="78"/>
      <c r="D392" s="78"/>
      <c r="E392" s="78"/>
      <c r="F392" s="78"/>
      <c r="G392" s="78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  <c r="Z392" s="78"/>
    </row>
    <row r="393" spans="1:26" ht="12.75" customHeight="1" x14ac:dyDescent="0.2">
      <c r="A393" s="78"/>
      <c r="B393" s="78"/>
      <c r="C393" s="78"/>
      <c r="D393" s="78"/>
      <c r="E393" s="78"/>
      <c r="F393" s="78"/>
      <c r="G393" s="78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  <c r="Z393" s="78"/>
    </row>
    <row r="394" spans="1:26" ht="12.75" customHeight="1" x14ac:dyDescent="0.2">
      <c r="A394" s="78"/>
      <c r="B394" s="78"/>
      <c r="C394" s="78"/>
      <c r="D394" s="78"/>
      <c r="E394" s="78"/>
      <c r="F394" s="78"/>
      <c r="G394" s="78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  <c r="Z394" s="78"/>
    </row>
    <row r="395" spans="1:26" ht="12.75" customHeight="1" x14ac:dyDescent="0.2">
      <c r="A395" s="78"/>
      <c r="B395" s="78"/>
      <c r="C395" s="78"/>
      <c r="D395" s="78"/>
      <c r="E395" s="78"/>
      <c r="F395" s="78"/>
      <c r="G395" s="78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  <c r="Z395" s="78"/>
    </row>
    <row r="396" spans="1:26" ht="12.75" customHeight="1" x14ac:dyDescent="0.2">
      <c r="A396" s="78"/>
      <c r="B396" s="78"/>
      <c r="C396" s="78"/>
      <c r="D396" s="78"/>
      <c r="E396" s="78"/>
      <c r="F396" s="78"/>
      <c r="G396" s="78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  <c r="Z396" s="78"/>
    </row>
    <row r="397" spans="1:26" ht="12.75" customHeight="1" x14ac:dyDescent="0.2">
      <c r="A397" s="78"/>
      <c r="B397" s="78"/>
      <c r="C397" s="78"/>
      <c r="D397" s="78"/>
      <c r="E397" s="78"/>
      <c r="F397" s="78"/>
      <c r="G397" s="78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  <c r="Z397" s="78"/>
    </row>
    <row r="398" spans="1:26" ht="12.75" customHeight="1" x14ac:dyDescent="0.2">
      <c r="A398" s="78"/>
      <c r="B398" s="78"/>
      <c r="C398" s="78"/>
      <c r="D398" s="78"/>
      <c r="E398" s="78"/>
      <c r="F398" s="78"/>
      <c r="G398" s="78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  <c r="Z398" s="78"/>
    </row>
    <row r="399" spans="1:26" ht="12.75" customHeight="1" x14ac:dyDescent="0.2">
      <c r="A399" s="78"/>
      <c r="B399" s="78"/>
      <c r="C399" s="78"/>
      <c r="D399" s="78"/>
      <c r="E399" s="78"/>
      <c r="F399" s="78"/>
      <c r="G399" s="78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  <c r="Z399" s="78"/>
    </row>
    <row r="400" spans="1:26" ht="12.75" customHeight="1" x14ac:dyDescent="0.2">
      <c r="A400" s="78"/>
      <c r="B400" s="78"/>
      <c r="C400" s="78"/>
      <c r="D400" s="78"/>
      <c r="E400" s="78"/>
      <c r="F400" s="78"/>
      <c r="G400" s="78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  <c r="Z400" s="78"/>
    </row>
    <row r="401" spans="1:26" ht="12.75" customHeight="1" x14ac:dyDescent="0.2">
      <c r="A401" s="78"/>
      <c r="B401" s="78"/>
      <c r="C401" s="78"/>
      <c r="D401" s="78"/>
      <c r="E401" s="78"/>
      <c r="F401" s="78"/>
      <c r="G401" s="78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  <c r="Z401" s="78"/>
    </row>
    <row r="402" spans="1:26" ht="12.75" customHeight="1" x14ac:dyDescent="0.2">
      <c r="A402" s="78"/>
      <c r="B402" s="78"/>
      <c r="C402" s="78"/>
      <c r="D402" s="78"/>
      <c r="E402" s="78"/>
      <c r="F402" s="78"/>
      <c r="G402" s="78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  <c r="Z402" s="78"/>
    </row>
    <row r="403" spans="1:26" ht="12.75" customHeight="1" x14ac:dyDescent="0.2">
      <c r="A403" s="78"/>
      <c r="B403" s="78"/>
      <c r="C403" s="78"/>
      <c r="D403" s="78"/>
      <c r="E403" s="78"/>
      <c r="F403" s="78"/>
      <c r="G403" s="78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</row>
    <row r="404" spans="1:26" ht="12.75" customHeight="1" x14ac:dyDescent="0.2">
      <c r="A404" s="78"/>
      <c r="B404" s="78"/>
      <c r="C404" s="78"/>
      <c r="D404" s="78"/>
      <c r="E404" s="78"/>
      <c r="F404" s="78"/>
      <c r="G404" s="78"/>
      <c r="H404" s="78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  <c r="Z404" s="78"/>
    </row>
    <row r="405" spans="1:26" ht="12.75" customHeight="1" x14ac:dyDescent="0.2">
      <c r="A405" s="78"/>
      <c r="B405" s="78"/>
      <c r="C405" s="78"/>
      <c r="D405" s="78"/>
      <c r="E405" s="78"/>
      <c r="F405" s="78"/>
      <c r="G405" s="78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  <c r="Z405" s="78"/>
    </row>
    <row r="406" spans="1:26" ht="12.75" customHeight="1" x14ac:dyDescent="0.2">
      <c r="A406" s="78"/>
      <c r="B406" s="78"/>
      <c r="C406" s="78"/>
      <c r="D406" s="78"/>
      <c r="E406" s="78"/>
      <c r="F406" s="78"/>
      <c r="G406" s="78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  <c r="Z406" s="78"/>
    </row>
    <row r="407" spans="1:26" ht="12.75" customHeight="1" x14ac:dyDescent="0.2">
      <c r="A407" s="78"/>
      <c r="B407" s="78"/>
      <c r="C407" s="78"/>
      <c r="D407" s="78"/>
      <c r="E407" s="78"/>
      <c r="F407" s="78"/>
      <c r="G407" s="78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  <c r="Z407" s="78"/>
    </row>
    <row r="408" spans="1:26" ht="12.75" customHeight="1" x14ac:dyDescent="0.2">
      <c r="A408" s="78"/>
      <c r="B408" s="78"/>
      <c r="C408" s="78"/>
      <c r="D408" s="78"/>
      <c r="E408" s="78"/>
      <c r="F408" s="78"/>
      <c r="G408" s="78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  <c r="Z408" s="78"/>
    </row>
    <row r="409" spans="1:26" ht="12.75" customHeight="1" x14ac:dyDescent="0.2">
      <c r="A409" s="78"/>
      <c r="B409" s="78"/>
      <c r="C409" s="78"/>
      <c r="D409" s="78"/>
      <c r="E409" s="78"/>
      <c r="F409" s="78"/>
      <c r="G409" s="78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  <c r="Z409" s="78"/>
    </row>
    <row r="410" spans="1:26" ht="12.75" customHeight="1" x14ac:dyDescent="0.2">
      <c r="A410" s="78"/>
      <c r="B410" s="78"/>
      <c r="C410" s="78"/>
      <c r="D410" s="78"/>
      <c r="E410" s="78"/>
      <c r="F410" s="78"/>
      <c r="G410" s="78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  <c r="Z410" s="78"/>
    </row>
    <row r="411" spans="1:26" ht="12.75" customHeight="1" x14ac:dyDescent="0.2">
      <c r="A411" s="78"/>
      <c r="B411" s="78"/>
      <c r="C411" s="78"/>
      <c r="D411" s="78"/>
      <c r="E411" s="78"/>
      <c r="F411" s="78"/>
      <c r="G411" s="78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  <c r="Z411" s="78"/>
    </row>
    <row r="412" spans="1:26" ht="12.75" customHeight="1" x14ac:dyDescent="0.2">
      <c r="A412" s="78"/>
      <c r="B412" s="78"/>
      <c r="C412" s="78"/>
      <c r="D412" s="78"/>
      <c r="E412" s="78"/>
      <c r="F412" s="78"/>
      <c r="G412" s="78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  <c r="Z412" s="78"/>
    </row>
    <row r="413" spans="1:26" ht="12.75" customHeight="1" x14ac:dyDescent="0.2">
      <c r="A413" s="78"/>
      <c r="B413" s="78"/>
      <c r="C413" s="78"/>
      <c r="D413" s="78"/>
      <c r="E413" s="78"/>
      <c r="F413" s="78"/>
      <c r="G413" s="78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</row>
    <row r="414" spans="1:26" ht="12.75" customHeight="1" x14ac:dyDescent="0.2">
      <c r="A414" s="78"/>
      <c r="B414" s="78"/>
      <c r="C414" s="78"/>
      <c r="D414" s="78"/>
      <c r="E414" s="78"/>
      <c r="F414" s="78"/>
      <c r="G414" s="78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  <c r="Z414" s="78"/>
    </row>
    <row r="415" spans="1:26" ht="12.75" customHeight="1" x14ac:dyDescent="0.2">
      <c r="A415" s="78"/>
      <c r="B415" s="78"/>
      <c r="C415" s="78"/>
      <c r="D415" s="78"/>
      <c r="E415" s="78"/>
      <c r="F415" s="78"/>
      <c r="G415" s="78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  <c r="Z415" s="78"/>
    </row>
    <row r="416" spans="1:26" ht="12.75" customHeight="1" x14ac:dyDescent="0.2">
      <c r="A416" s="78"/>
      <c r="B416" s="78"/>
      <c r="C416" s="78"/>
      <c r="D416" s="78"/>
      <c r="E416" s="78"/>
      <c r="F416" s="78"/>
      <c r="G416" s="78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  <c r="Z416" s="78"/>
    </row>
    <row r="417" spans="1:26" ht="12.75" customHeight="1" x14ac:dyDescent="0.2">
      <c r="A417" s="78"/>
      <c r="B417" s="78"/>
      <c r="C417" s="78"/>
      <c r="D417" s="78"/>
      <c r="E417" s="78"/>
      <c r="F417" s="78"/>
      <c r="G417" s="78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  <c r="Z417" s="78"/>
    </row>
    <row r="418" spans="1:26" ht="12.75" customHeight="1" x14ac:dyDescent="0.2">
      <c r="A418" s="78"/>
      <c r="B418" s="78"/>
      <c r="C418" s="78"/>
      <c r="D418" s="78"/>
      <c r="E418" s="78"/>
      <c r="F418" s="78"/>
      <c r="G418" s="78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  <c r="Z418" s="78"/>
    </row>
    <row r="419" spans="1:26" ht="12.75" customHeight="1" x14ac:dyDescent="0.2">
      <c r="A419" s="78"/>
      <c r="B419" s="78"/>
      <c r="C419" s="78"/>
      <c r="D419" s="78"/>
      <c r="E419" s="78"/>
      <c r="F419" s="78"/>
      <c r="G419" s="78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  <c r="Z419" s="78"/>
    </row>
    <row r="420" spans="1:26" ht="12.75" customHeight="1" x14ac:dyDescent="0.2">
      <c r="A420" s="78"/>
      <c r="B420" s="78"/>
      <c r="C420" s="78"/>
      <c r="D420" s="78"/>
      <c r="E420" s="78"/>
      <c r="F420" s="78"/>
      <c r="G420" s="78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  <c r="Z420" s="78"/>
    </row>
    <row r="421" spans="1:26" ht="12.75" customHeight="1" x14ac:dyDescent="0.2">
      <c r="A421" s="78"/>
      <c r="B421" s="78"/>
      <c r="C421" s="78"/>
      <c r="D421" s="78"/>
      <c r="E421" s="78"/>
      <c r="F421" s="78"/>
      <c r="G421" s="78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  <c r="Z421" s="78"/>
    </row>
    <row r="422" spans="1:26" ht="12.75" customHeight="1" x14ac:dyDescent="0.2">
      <c r="A422" s="78"/>
      <c r="B422" s="78"/>
      <c r="C422" s="78"/>
      <c r="D422" s="78"/>
      <c r="E422" s="78"/>
      <c r="F422" s="78"/>
      <c r="G422" s="78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  <c r="Z422" s="78"/>
    </row>
    <row r="423" spans="1:26" ht="12.75" customHeight="1" x14ac:dyDescent="0.2">
      <c r="A423" s="78"/>
      <c r="B423" s="78"/>
      <c r="C423" s="78"/>
      <c r="D423" s="78"/>
      <c r="E423" s="78"/>
      <c r="F423" s="78"/>
      <c r="G423" s="78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  <c r="Z423" s="78"/>
    </row>
    <row r="424" spans="1:26" ht="12.75" customHeight="1" x14ac:dyDescent="0.2">
      <c r="A424" s="78"/>
      <c r="B424" s="78"/>
      <c r="C424" s="78"/>
      <c r="D424" s="78"/>
      <c r="E424" s="78"/>
      <c r="F424" s="78"/>
      <c r="G424" s="78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  <c r="Z424" s="78"/>
    </row>
    <row r="425" spans="1:26" ht="12.75" customHeight="1" x14ac:dyDescent="0.2">
      <c r="A425" s="78"/>
      <c r="B425" s="78"/>
      <c r="C425" s="78"/>
      <c r="D425" s="78"/>
      <c r="E425" s="78"/>
      <c r="F425" s="78"/>
      <c r="G425" s="78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  <c r="Z425" s="78"/>
    </row>
    <row r="426" spans="1:26" ht="12.75" customHeight="1" x14ac:dyDescent="0.2">
      <c r="A426" s="78"/>
      <c r="B426" s="78"/>
      <c r="C426" s="78"/>
      <c r="D426" s="78"/>
      <c r="E426" s="78"/>
      <c r="F426" s="78"/>
      <c r="G426" s="78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  <c r="Z426" s="78"/>
    </row>
    <row r="427" spans="1:26" ht="12.75" customHeight="1" x14ac:dyDescent="0.2">
      <c r="A427" s="78"/>
      <c r="B427" s="78"/>
      <c r="C427" s="78"/>
      <c r="D427" s="78"/>
      <c r="E427" s="78"/>
      <c r="F427" s="78"/>
      <c r="G427" s="78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</row>
    <row r="428" spans="1:26" ht="12.75" customHeight="1" x14ac:dyDescent="0.2">
      <c r="A428" s="78"/>
      <c r="B428" s="78"/>
      <c r="C428" s="78"/>
      <c r="D428" s="78"/>
      <c r="E428" s="78"/>
      <c r="F428" s="78"/>
      <c r="G428" s="78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  <c r="Z428" s="78"/>
    </row>
    <row r="429" spans="1:26" ht="12.75" customHeight="1" x14ac:dyDescent="0.2">
      <c r="A429" s="78"/>
      <c r="B429" s="78"/>
      <c r="C429" s="78"/>
      <c r="D429" s="78"/>
      <c r="E429" s="78"/>
      <c r="F429" s="78"/>
      <c r="G429" s="78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</row>
    <row r="430" spans="1:26" ht="12.75" customHeight="1" x14ac:dyDescent="0.2">
      <c r="A430" s="78"/>
      <c r="B430" s="78"/>
      <c r="C430" s="78"/>
      <c r="D430" s="78"/>
      <c r="E430" s="78"/>
      <c r="F430" s="78"/>
      <c r="G430" s="78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  <c r="Z430" s="78"/>
    </row>
    <row r="431" spans="1:26" ht="12.75" customHeight="1" x14ac:dyDescent="0.2">
      <c r="A431" s="78"/>
      <c r="B431" s="78"/>
      <c r="C431" s="78"/>
      <c r="D431" s="78"/>
      <c r="E431" s="78"/>
      <c r="F431" s="78"/>
      <c r="G431" s="78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  <c r="Z431" s="78"/>
    </row>
    <row r="432" spans="1:26" ht="12.75" customHeight="1" x14ac:dyDescent="0.2">
      <c r="A432" s="78"/>
      <c r="B432" s="78"/>
      <c r="C432" s="78"/>
      <c r="D432" s="78"/>
      <c r="E432" s="78"/>
      <c r="F432" s="78"/>
      <c r="G432" s="78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</row>
    <row r="433" spans="1:26" ht="12.75" customHeight="1" x14ac:dyDescent="0.2">
      <c r="A433" s="78"/>
      <c r="B433" s="78"/>
      <c r="C433" s="78"/>
      <c r="D433" s="78"/>
      <c r="E433" s="78"/>
      <c r="F433" s="78"/>
      <c r="G433" s="78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  <c r="Z433" s="78"/>
    </row>
    <row r="434" spans="1:26" ht="12.75" customHeight="1" x14ac:dyDescent="0.2">
      <c r="A434" s="78"/>
      <c r="B434" s="78"/>
      <c r="C434" s="78"/>
      <c r="D434" s="78"/>
      <c r="E434" s="78"/>
      <c r="F434" s="78"/>
      <c r="G434" s="78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  <c r="Z434" s="78"/>
    </row>
    <row r="435" spans="1:26" ht="12.75" customHeight="1" x14ac:dyDescent="0.2">
      <c r="A435" s="78"/>
      <c r="B435" s="78"/>
      <c r="C435" s="78"/>
      <c r="D435" s="78"/>
      <c r="E435" s="78"/>
      <c r="F435" s="78"/>
      <c r="G435" s="78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  <c r="Z435" s="78"/>
    </row>
    <row r="436" spans="1:26" ht="12.75" customHeight="1" x14ac:dyDescent="0.2">
      <c r="A436" s="78"/>
      <c r="B436" s="78"/>
      <c r="C436" s="78"/>
      <c r="D436" s="78"/>
      <c r="E436" s="78"/>
      <c r="F436" s="78"/>
      <c r="G436" s="78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  <c r="Z436" s="78"/>
    </row>
    <row r="437" spans="1:26" ht="12.75" customHeight="1" x14ac:dyDescent="0.2">
      <c r="A437" s="78"/>
      <c r="B437" s="78"/>
      <c r="C437" s="78"/>
      <c r="D437" s="78"/>
      <c r="E437" s="78"/>
      <c r="F437" s="78"/>
      <c r="G437" s="78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  <c r="Z437" s="78"/>
    </row>
    <row r="438" spans="1:26" ht="12.75" customHeight="1" x14ac:dyDescent="0.2">
      <c r="A438" s="78"/>
      <c r="B438" s="78"/>
      <c r="C438" s="78"/>
      <c r="D438" s="78"/>
      <c r="E438" s="78"/>
      <c r="F438" s="78"/>
      <c r="G438" s="78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  <c r="Z438" s="78"/>
    </row>
    <row r="439" spans="1:26" ht="12.75" customHeight="1" x14ac:dyDescent="0.2">
      <c r="A439" s="78"/>
      <c r="B439" s="78"/>
      <c r="C439" s="78"/>
      <c r="D439" s="78"/>
      <c r="E439" s="78"/>
      <c r="F439" s="78"/>
      <c r="G439" s="78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  <c r="Z439" s="78"/>
    </row>
    <row r="440" spans="1:26" ht="12.75" customHeight="1" x14ac:dyDescent="0.2">
      <c r="A440" s="78"/>
      <c r="B440" s="78"/>
      <c r="C440" s="78"/>
      <c r="D440" s="78"/>
      <c r="E440" s="78"/>
      <c r="F440" s="78"/>
      <c r="G440" s="78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</row>
    <row r="441" spans="1:26" ht="12.75" customHeight="1" x14ac:dyDescent="0.2">
      <c r="A441" s="78"/>
      <c r="B441" s="78"/>
      <c r="C441" s="78"/>
      <c r="D441" s="78"/>
      <c r="E441" s="78"/>
      <c r="F441" s="78"/>
      <c r="G441" s="78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  <c r="Z441" s="78"/>
    </row>
    <row r="442" spans="1:26" ht="12.75" customHeight="1" x14ac:dyDescent="0.2">
      <c r="A442" s="78"/>
      <c r="B442" s="78"/>
      <c r="C442" s="78"/>
      <c r="D442" s="78"/>
      <c r="E442" s="78"/>
      <c r="F442" s="78"/>
      <c r="G442" s="78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  <c r="Z442" s="78"/>
    </row>
    <row r="443" spans="1:26" ht="12.75" customHeight="1" x14ac:dyDescent="0.2">
      <c r="A443" s="78"/>
      <c r="B443" s="78"/>
      <c r="C443" s="78"/>
      <c r="D443" s="78"/>
      <c r="E443" s="78"/>
      <c r="F443" s="78"/>
      <c r="G443" s="78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</row>
    <row r="444" spans="1:26" ht="12.75" customHeight="1" x14ac:dyDescent="0.2">
      <c r="A444" s="78"/>
      <c r="B444" s="78"/>
      <c r="C444" s="78"/>
      <c r="D444" s="78"/>
      <c r="E444" s="78"/>
      <c r="F444" s="78"/>
      <c r="G444" s="78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  <c r="Z444" s="78"/>
    </row>
    <row r="445" spans="1:26" ht="12.75" customHeight="1" x14ac:dyDescent="0.2">
      <c r="A445" s="78"/>
      <c r="B445" s="78"/>
      <c r="C445" s="78"/>
      <c r="D445" s="78"/>
      <c r="E445" s="78"/>
      <c r="F445" s="78"/>
      <c r="G445" s="78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  <c r="Z445" s="78"/>
    </row>
    <row r="446" spans="1:26" ht="12.75" customHeight="1" x14ac:dyDescent="0.2">
      <c r="A446" s="78"/>
      <c r="B446" s="78"/>
      <c r="C446" s="78"/>
      <c r="D446" s="78"/>
      <c r="E446" s="78"/>
      <c r="F446" s="78"/>
      <c r="G446" s="78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  <c r="Z446" s="78"/>
    </row>
    <row r="447" spans="1:26" ht="12.75" customHeight="1" x14ac:dyDescent="0.2">
      <c r="A447" s="78"/>
      <c r="B447" s="78"/>
      <c r="C447" s="78"/>
      <c r="D447" s="78"/>
      <c r="E447" s="78"/>
      <c r="F447" s="78"/>
      <c r="G447" s="78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  <c r="Z447" s="78"/>
    </row>
    <row r="448" spans="1:26" ht="12.75" customHeight="1" x14ac:dyDescent="0.2">
      <c r="A448" s="78"/>
      <c r="B448" s="78"/>
      <c r="C448" s="78"/>
      <c r="D448" s="78"/>
      <c r="E448" s="78"/>
      <c r="F448" s="78"/>
      <c r="G448" s="78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  <c r="Z448" s="78"/>
    </row>
    <row r="449" spans="1:26" ht="12.75" customHeight="1" x14ac:dyDescent="0.2">
      <c r="A449" s="78"/>
      <c r="B449" s="78"/>
      <c r="C449" s="78"/>
      <c r="D449" s="78"/>
      <c r="E449" s="78"/>
      <c r="F449" s="78"/>
      <c r="G449" s="78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  <c r="Z449" s="78"/>
    </row>
    <row r="450" spans="1:26" ht="12.75" customHeight="1" x14ac:dyDescent="0.2">
      <c r="A450" s="78"/>
      <c r="B450" s="78"/>
      <c r="C450" s="78"/>
      <c r="D450" s="78"/>
      <c r="E450" s="78"/>
      <c r="F450" s="78"/>
      <c r="G450" s="78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  <c r="Z450" s="78"/>
    </row>
    <row r="451" spans="1:26" ht="12.75" customHeight="1" x14ac:dyDescent="0.2">
      <c r="A451" s="78"/>
      <c r="B451" s="78"/>
      <c r="C451" s="78"/>
      <c r="D451" s="78"/>
      <c r="E451" s="78"/>
      <c r="F451" s="78"/>
      <c r="G451" s="78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  <c r="Z451" s="78"/>
    </row>
    <row r="452" spans="1:26" ht="12.75" customHeight="1" x14ac:dyDescent="0.2">
      <c r="A452" s="78"/>
      <c r="B452" s="78"/>
      <c r="C452" s="78"/>
      <c r="D452" s="78"/>
      <c r="E452" s="78"/>
      <c r="F452" s="78"/>
      <c r="G452" s="78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  <c r="Z452" s="78"/>
    </row>
    <row r="453" spans="1:26" ht="12.75" customHeight="1" x14ac:dyDescent="0.2">
      <c r="A453" s="78"/>
      <c r="B453" s="78"/>
      <c r="C453" s="78"/>
      <c r="D453" s="78"/>
      <c r="E453" s="78"/>
      <c r="F453" s="78"/>
      <c r="G453" s="78"/>
      <c r="H453" s="78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  <c r="Z453" s="78"/>
    </row>
    <row r="454" spans="1:26" ht="12.75" customHeight="1" x14ac:dyDescent="0.2">
      <c r="A454" s="78"/>
      <c r="B454" s="78"/>
      <c r="C454" s="78"/>
      <c r="D454" s="78"/>
      <c r="E454" s="78"/>
      <c r="F454" s="78"/>
      <c r="G454" s="78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  <c r="Z454" s="78"/>
    </row>
    <row r="455" spans="1:26" ht="12.75" customHeight="1" x14ac:dyDescent="0.2">
      <c r="A455" s="78"/>
      <c r="B455" s="78"/>
      <c r="C455" s="78"/>
      <c r="D455" s="78"/>
      <c r="E455" s="78"/>
      <c r="F455" s="78"/>
      <c r="G455" s="78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  <c r="Z455" s="78"/>
    </row>
    <row r="456" spans="1:26" ht="12.75" customHeight="1" x14ac:dyDescent="0.2">
      <c r="A456" s="78"/>
      <c r="B456" s="78"/>
      <c r="C456" s="78"/>
      <c r="D456" s="78"/>
      <c r="E456" s="78"/>
      <c r="F456" s="78"/>
      <c r="G456" s="78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  <c r="Z456" s="78"/>
    </row>
    <row r="457" spans="1:26" ht="12.75" customHeight="1" x14ac:dyDescent="0.2">
      <c r="A457" s="78"/>
      <c r="B457" s="78"/>
      <c r="C457" s="78"/>
      <c r="D457" s="78"/>
      <c r="E457" s="78"/>
      <c r="F457" s="78"/>
      <c r="G457" s="78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  <c r="Z457" s="78"/>
    </row>
    <row r="458" spans="1:26" ht="12.75" customHeight="1" x14ac:dyDescent="0.2">
      <c r="A458" s="78"/>
      <c r="B458" s="78"/>
      <c r="C458" s="78"/>
      <c r="D458" s="78"/>
      <c r="E458" s="78"/>
      <c r="F458" s="78"/>
      <c r="G458" s="78"/>
      <c r="H458" s="78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  <c r="Z458" s="78"/>
    </row>
    <row r="459" spans="1:26" ht="12.75" customHeight="1" x14ac:dyDescent="0.2">
      <c r="A459" s="78"/>
      <c r="B459" s="78"/>
      <c r="C459" s="78"/>
      <c r="D459" s="78"/>
      <c r="E459" s="78"/>
      <c r="F459" s="78"/>
      <c r="G459" s="78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  <c r="Z459" s="78"/>
    </row>
    <row r="460" spans="1:26" ht="12.75" customHeight="1" x14ac:dyDescent="0.2">
      <c r="A460" s="78"/>
      <c r="B460" s="78"/>
      <c r="C460" s="78"/>
      <c r="D460" s="78"/>
      <c r="E460" s="78"/>
      <c r="F460" s="78"/>
      <c r="G460" s="78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  <c r="Z460" s="78"/>
    </row>
    <row r="461" spans="1:26" ht="12.75" customHeight="1" x14ac:dyDescent="0.2">
      <c r="A461" s="78"/>
      <c r="B461" s="78"/>
      <c r="C461" s="78"/>
      <c r="D461" s="78"/>
      <c r="E461" s="78"/>
      <c r="F461" s="78"/>
      <c r="G461" s="78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  <c r="Z461" s="78"/>
    </row>
    <row r="462" spans="1:26" ht="12.75" customHeight="1" x14ac:dyDescent="0.2">
      <c r="A462" s="78"/>
      <c r="B462" s="78"/>
      <c r="C462" s="78"/>
      <c r="D462" s="78"/>
      <c r="E462" s="78"/>
      <c r="F462" s="78"/>
      <c r="G462" s="78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  <c r="Z462" s="78"/>
    </row>
    <row r="463" spans="1:26" ht="12.75" customHeight="1" x14ac:dyDescent="0.2">
      <c r="A463" s="78"/>
      <c r="B463" s="78"/>
      <c r="C463" s="78"/>
      <c r="D463" s="78"/>
      <c r="E463" s="78"/>
      <c r="F463" s="78"/>
      <c r="G463" s="78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  <c r="Z463" s="78"/>
    </row>
    <row r="464" spans="1:26" ht="12.75" customHeight="1" x14ac:dyDescent="0.2">
      <c r="A464" s="78"/>
      <c r="B464" s="78"/>
      <c r="C464" s="78"/>
      <c r="D464" s="78"/>
      <c r="E464" s="78"/>
      <c r="F464" s="78"/>
      <c r="G464" s="78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  <c r="Z464" s="78"/>
    </row>
    <row r="465" spans="1:26" ht="12.75" customHeight="1" x14ac:dyDescent="0.2">
      <c r="A465" s="78"/>
      <c r="B465" s="78"/>
      <c r="C465" s="78"/>
      <c r="D465" s="78"/>
      <c r="E465" s="78"/>
      <c r="F465" s="78"/>
      <c r="G465" s="78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  <c r="Z465" s="78"/>
    </row>
    <row r="466" spans="1:26" ht="12.75" customHeight="1" x14ac:dyDescent="0.2">
      <c r="A466" s="78"/>
      <c r="B466" s="78"/>
      <c r="C466" s="78"/>
      <c r="D466" s="78"/>
      <c r="E466" s="78"/>
      <c r="F466" s="78"/>
      <c r="G466" s="78"/>
      <c r="H466" s="78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  <c r="Z466" s="78"/>
    </row>
    <row r="467" spans="1:26" ht="12.75" customHeight="1" x14ac:dyDescent="0.2">
      <c r="A467" s="78"/>
      <c r="B467" s="78"/>
      <c r="C467" s="78"/>
      <c r="D467" s="78"/>
      <c r="E467" s="78"/>
      <c r="F467" s="78"/>
      <c r="G467" s="78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  <c r="Z467" s="78"/>
    </row>
    <row r="468" spans="1:26" ht="12.75" customHeight="1" x14ac:dyDescent="0.2">
      <c r="A468" s="78"/>
      <c r="B468" s="78"/>
      <c r="C468" s="78"/>
      <c r="D468" s="78"/>
      <c r="E468" s="78"/>
      <c r="F468" s="78"/>
      <c r="G468" s="78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  <c r="Z468" s="78"/>
    </row>
    <row r="469" spans="1:26" ht="12.75" customHeight="1" x14ac:dyDescent="0.2">
      <c r="A469" s="78"/>
      <c r="B469" s="78"/>
      <c r="C469" s="78"/>
      <c r="D469" s="78"/>
      <c r="E469" s="78"/>
      <c r="F469" s="78"/>
      <c r="G469" s="78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  <c r="Z469" s="78"/>
    </row>
    <row r="470" spans="1:26" ht="12.75" customHeight="1" x14ac:dyDescent="0.2">
      <c r="A470" s="78"/>
      <c r="B470" s="78"/>
      <c r="C470" s="78"/>
      <c r="D470" s="78"/>
      <c r="E470" s="78"/>
      <c r="F470" s="78"/>
      <c r="G470" s="78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  <c r="Z470" s="78"/>
    </row>
    <row r="471" spans="1:26" ht="12.75" customHeight="1" x14ac:dyDescent="0.2">
      <c r="A471" s="78"/>
      <c r="B471" s="78"/>
      <c r="C471" s="78"/>
      <c r="D471" s="78"/>
      <c r="E471" s="78"/>
      <c r="F471" s="78"/>
      <c r="G471" s="78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  <c r="Z471" s="78"/>
    </row>
    <row r="472" spans="1:26" ht="12.75" customHeight="1" x14ac:dyDescent="0.2">
      <c r="A472" s="78"/>
      <c r="B472" s="78"/>
      <c r="C472" s="78"/>
      <c r="D472" s="78"/>
      <c r="E472" s="78"/>
      <c r="F472" s="78"/>
      <c r="G472" s="78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  <c r="Z472" s="78"/>
    </row>
    <row r="473" spans="1:26" ht="12.75" customHeight="1" x14ac:dyDescent="0.2">
      <c r="A473" s="78"/>
      <c r="B473" s="78"/>
      <c r="C473" s="78"/>
      <c r="D473" s="78"/>
      <c r="E473" s="78"/>
      <c r="F473" s="78"/>
      <c r="G473" s="78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  <c r="Z473" s="78"/>
    </row>
    <row r="474" spans="1:26" ht="12.75" customHeight="1" x14ac:dyDescent="0.2">
      <c r="A474" s="78"/>
      <c r="B474" s="78"/>
      <c r="C474" s="78"/>
      <c r="D474" s="78"/>
      <c r="E474" s="78"/>
      <c r="F474" s="78"/>
      <c r="G474" s="78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  <c r="Z474" s="78"/>
    </row>
    <row r="475" spans="1:26" ht="12.75" customHeight="1" x14ac:dyDescent="0.2">
      <c r="A475" s="78"/>
      <c r="B475" s="78"/>
      <c r="C475" s="78"/>
      <c r="D475" s="78"/>
      <c r="E475" s="78"/>
      <c r="F475" s="78"/>
      <c r="G475" s="78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  <c r="Z475" s="78"/>
    </row>
    <row r="476" spans="1:26" ht="12.75" customHeight="1" x14ac:dyDescent="0.2">
      <c r="A476" s="78"/>
      <c r="B476" s="78"/>
      <c r="C476" s="78"/>
      <c r="D476" s="78"/>
      <c r="E476" s="78"/>
      <c r="F476" s="78"/>
      <c r="G476" s="78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  <c r="Z476" s="78"/>
    </row>
    <row r="477" spans="1:26" ht="12.75" customHeight="1" x14ac:dyDescent="0.2">
      <c r="A477" s="78"/>
      <c r="B477" s="78"/>
      <c r="C477" s="78"/>
      <c r="D477" s="78"/>
      <c r="E477" s="78"/>
      <c r="F477" s="78"/>
      <c r="G477" s="78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  <c r="Z477" s="78"/>
    </row>
    <row r="478" spans="1:26" ht="12.75" customHeight="1" x14ac:dyDescent="0.2">
      <c r="A478" s="78"/>
      <c r="B478" s="78"/>
      <c r="C478" s="78"/>
      <c r="D478" s="78"/>
      <c r="E478" s="78"/>
      <c r="F478" s="78"/>
      <c r="G478" s="78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  <c r="Z478" s="78"/>
    </row>
    <row r="479" spans="1:26" ht="12.75" customHeight="1" x14ac:dyDescent="0.2">
      <c r="A479" s="78"/>
      <c r="B479" s="78"/>
      <c r="C479" s="78"/>
      <c r="D479" s="78"/>
      <c r="E479" s="78"/>
      <c r="F479" s="78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</row>
    <row r="480" spans="1:26" ht="12.75" customHeight="1" x14ac:dyDescent="0.2">
      <c r="A480" s="78"/>
      <c r="B480" s="78"/>
      <c r="C480" s="78"/>
      <c r="D480" s="78"/>
      <c r="E480" s="78"/>
      <c r="F480" s="78"/>
      <c r="G480" s="78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</row>
    <row r="481" spans="1:26" ht="12.75" customHeight="1" x14ac:dyDescent="0.2">
      <c r="A481" s="78"/>
      <c r="B481" s="78"/>
      <c r="C481" s="78"/>
      <c r="D481" s="78"/>
      <c r="E481" s="78"/>
      <c r="F481" s="78"/>
      <c r="G481" s="78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  <c r="Z481" s="78"/>
    </row>
    <row r="482" spans="1:26" ht="12.75" customHeight="1" x14ac:dyDescent="0.2">
      <c r="A482" s="78"/>
      <c r="B482" s="78"/>
      <c r="C482" s="78"/>
      <c r="D482" s="78"/>
      <c r="E482" s="78"/>
      <c r="F482" s="78"/>
      <c r="G482" s="78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  <c r="Z482" s="78"/>
    </row>
    <row r="483" spans="1:26" ht="12.75" customHeight="1" x14ac:dyDescent="0.2">
      <c r="A483" s="78"/>
      <c r="B483" s="78"/>
      <c r="C483" s="78"/>
      <c r="D483" s="78"/>
      <c r="E483" s="78"/>
      <c r="F483" s="78"/>
      <c r="G483" s="78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</row>
    <row r="484" spans="1:26" ht="12.75" customHeight="1" x14ac:dyDescent="0.2">
      <c r="A484" s="78"/>
      <c r="B484" s="78"/>
      <c r="C484" s="78"/>
      <c r="D484" s="78"/>
      <c r="E484" s="78"/>
      <c r="F484" s="78"/>
      <c r="G484" s="78"/>
      <c r="H484" s="78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  <c r="Z484" s="78"/>
    </row>
    <row r="485" spans="1:26" ht="12.75" customHeight="1" x14ac:dyDescent="0.2">
      <c r="A485" s="78"/>
      <c r="B485" s="78"/>
      <c r="C485" s="78"/>
      <c r="D485" s="78"/>
      <c r="E485" s="78"/>
      <c r="F485" s="78"/>
      <c r="G485" s="78"/>
      <c r="H485" s="78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  <c r="Z485" s="78"/>
    </row>
    <row r="486" spans="1:26" ht="12.75" customHeight="1" x14ac:dyDescent="0.2">
      <c r="A486" s="78"/>
      <c r="B486" s="78"/>
      <c r="C486" s="78"/>
      <c r="D486" s="78"/>
      <c r="E486" s="78"/>
      <c r="F486" s="78"/>
      <c r="G486" s="78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  <c r="Z486" s="78"/>
    </row>
    <row r="487" spans="1:26" ht="12.75" customHeight="1" x14ac:dyDescent="0.2">
      <c r="A487" s="78"/>
      <c r="B487" s="78"/>
      <c r="C487" s="78"/>
      <c r="D487" s="78"/>
      <c r="E487" s="78"/>
      <c r="F487" s="78"/>
      <c r="G487" s="78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  <c r="Z487" s="78"/>
    </row>
    <row r="488" spans="1:26" ht="12.75" customHeight="1" x14ac:dyDescent="0.2">
      <c r="A488" s="78"/>
      <c r="B488" s="78"/>
      <c r="C488" s="78"/>
      <c r="D488" s="78"/>
      <c r="E488" s="78"/>
      <c r="F488" s="78"/>
      <c r="G488" s="78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  <c r="Z488" s="78"/>
    </row>
    <row r="489" spans="1:26" ht="12.75" customHeight="1" x14ac:dyDescent="0.2">
      <c r="A489" s="78"/>
      <c r="B489" s="78"/>
      <c r="C489" s="78"/>
      <c r="D489" s="78"/>
      <c r="E489" s="78"/>
      <c r="F489" s="78"/>
      <c r="G489" s="78"/>
      <c r="H489" s="78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  <c r="Z489" s="78"/>
    </row>
    <row r="490" spans="1:26" ht="12.75" customHeight="1" x14ac:dyDescent="0.2">
      <c r="A490" s="78"/>
      <c r="B490" s="78"/>
      <c r="C490" s="78"/>
      <c r="D490" s="78"/>
      <c r="E490" s="78"/>
      <c r="F490" s="78"/>
      <c r="G490" s="78"/>
      <c r="H490" s="78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  <c r="Z490" s="78"/>
    </row>
    <row r="491" spans="1:26" ht="12.75" customHeight="1" x14ac:dyDescent="0.2">
      <c r="A491" s="78"/>
      <c r="B491" s="78"/>
      <c r="C491" s="78"/>
      <c r="D491" s="78"/>
      <c r="E491" s="78"/>
      <c r="F491" s="78"/>
      <c r="G491" s="78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  <c r="Z491" s="78"/>
    </row>
    <row r="492" spans="1:26" ht="12.75" customHeight="1" x14ac:dyDescent="0.2">
      <c r="A492" s="78"/>
      <c r="B492" s="78"/>
      <c r="C492" s="78"/>
      <c r="D492" s="78"/>
      <c r="E492" s="78"/>
      <c r="F492" s="78"/>
      <c r="G492" s="78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  <c r="Z492" s="78"/>
    </row>
    <row r="493" spans="1:26" ht="12.75" customHeight="1" x14ac:dyDescent="0.2">
      <c r="A493" s="78"/>
      <c r="B493" s="78"/>
      <c r="C493" s="78"/>
      <c r="D493" s="78"/>
      <c r="E493" s="78"/>
      <c r="F493" s="78"/>
      <c r="G493" s="78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  <c r="Z493" s="78"/>
    </row>
    <row r="494" spans="1:26" ht="12.75" customHeight="1" x14ac:dyDescent="0.2">
      <c r="A494" s="78"/>
      <c r="B494" s="78"/>
      <c r="C494" s="78"/>
      <c r="D494" s="78"/>
      <c r="E494" s="78"/>
      <c r="F494" s="78"/>
      <c r="G494" s="78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  <c r="Z494" s="78"/>
    </row>
    <row r="495" spans="1:26" ht="12.75" customHeight="1" x14ac:dyDescent="0.2">
      <c r="A495" s="78"/>
      <c r="B495" s="78"/>
      <c r="C495" s="78"/>
      <c r="D495" s="78"/>
      <c r="E495" s="78"/>
      <c r="F495" s="78"/>
      <c r="G495" s="78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  <c r="Z495" s="78"/>
    </row>
    <row r="496" spans="1:26" ht="12.75" customHeight="1" x14ac:dyDescent="0.2">
      <c r="A496" s="78"/>
      <c r="B496" s="78"/>
      <c r="C496" s="78"/>
      <c r="D496" s="78"/>
      <c r="E496" s="78"/>
      <c r="F496" s="78"/>
      <c r="G496" s="78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  <c r="Z496" s="78"/>
    </row>
    <row r="497" spans="1:26" ht="12.75" customHeight="1" x14ac:dyDescent="0.2">
      <c r="A497" s="78"/>
      <c r="B497" s="78"/>
      <c r="C497" s="78"/>
      <c r="D497" s="78"/>
      <c r="E497" s="78"/>
      <c r="F497" s="78"/>
      <c r="G497" s="78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  <c r="Z497" s="78"/>
    </row>
    <row r="498" spans="1:26" ht="12.75" customHeight="1" x14ac:dyDescent="0.2">
      <c r="A498" s="78"/>
      <c r="B498" s="78"/>
      <c r="C498" s="78"/>
      <c r="D498" s="78"/>
      <c r="E498" s="78"/>
      <c r="F498" s="78"/>
      <c r="G498" s="78"/>
      <c r="H498" s="78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  <c r="Z498" s="78"/>
    </row>
    <row r="499" spans="1:26" ht="12.75" customHeight="1" x14ac:dyDescent="0.2">
      <c r="A499" s="78"/>
      <c r="B499" s="78"/>
      <c r="C499" s="78"/>
      <c r="D499" s="78"/>
      <c r="E499" s="78"/>
      <c r="F499" s="78"/>
      <c r="G499" s="78"/>
      <c r="H499" s="78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  <c r="Z499" s="78"/>
    </row>
    <row r="500" spans="1:26" ht="12.75" customHeight="1" x14ac:dyDescent="0.2">
      <c r="A500" s="78"/>
      <c r="B500" s="78"/>
      <c r="C500" s="78"/>
      <c r="D500" s="78"/>
      <c r="E500" s="78"/>
      <c r="F500" s="78"/>
      <c r="G500" s="78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  <c r="Z500" s="78"/>
    </row>
    <row r="501" spans="1:26" ht="12.75" customHeight="1" x14ac:dyDescent="0.2">
      <c r="A501" s="78"/>
      <c r="B501" s="78"/>
      <c r="C501" s="78"/>
      <c r="D501" s="78"/>
      <c r="E501" s="78"/>
      <c r="F501" s="78"/>
      <c r="G501" s="78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  <c r="Z501" s="78"/>
    </row>
    <row r="502" spans="1:26" ht="12.75" customHeight="1" x14ac:dyDescent="0.2">
      <c r="A502" s="78"/>
      <c r="B502" s="78"/>
      <c r="C502" s="78"/>
      <c r="D502" s="78"/>
      <c r="E502" s="78"/>
      <c r="F502" s="78"/>
      <c r="G502" s="78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  <c r="Z502" s="78"/>
    </row>
    <row r="503" spans="1:26" ht="12.75" customHeight="1" x14ac:dyDescent="0.2">
      <c r="A503" s="78"/>
      <c r="B503" s="78"/>
      <c r="C503" s="78"/>
      <c r="D503" s="78"/>
      <c r="E503" s="78"/>
      <c r="F503" s="78"/>
      <c r="G503" s="78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  <c r="Z503" s="78"/>
    </row>
    <row r="504" spans="1:26" ht="12.75" customHeight="1" x14ac:dyDescent="0.2">
      <c r="A504" s="78"/>
      <c r="B504" s="78"/>
      <c r="C504" s="78"/>
      <c r="D504" s="78"/>
      <c r="E504" s="78"/>
      <c r="F504" s="78"/>
      <c r="G504" s="78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8"/>
      <c r="Z504" s="78"/>
    </row>
    <row r="505" spans="1:26" ht="12.75" customHeight="1" x14ac:dyDescent="0.2">
      <c r="A505" s="78"/>
      <c r="B505" s="78"/>
      <c r="C505" s="78"/>
      <c r="D505" s="78"/>
      <c r="E505" s="78"/>
      <c r="F505" s="78"/>
      <c r="G505" s="78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  <c r="Z505" s="78"/>
    </row>
    <row r="506" spans="1:26" ht="12.75" customHeight="1" x14ac:dyDescent="0.2">
      <c r="A506" s="78"/>
      <c r="B506" s="78"/>
      <c r="C506" s="78"/>
      <c r="D506" s="78"/>
      <c r="E506" s="78"/>
      <c r="F506" s="78"/>
      <c r="G506" s="78"/>
      <c r="H506" s="78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  <c r="Z506" s="78"/>
    </row>
    <row r="507" spans="1:26" ht="12.75" customHeight="1" x14ac:dyDescent="0.2">
      <c r="A507" s="78"/>
      <c r="B507" s="78"/>
      <c r="C507" s="78"/>
      <c r="D507" s="78"/>
      <c r="E507" s="78"/>
      <c r="F507" s="78"/>
      <c r="G507" s="78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  <c r="Z507" s="78"/>
    </row>
    <row r="508" spans="1:26" ht="12.75" customHeight="1" x14ac:dyDescent="0.2">
      <c r="A508" s="78"/>
      <c r="B508" s="78"/>
      <c r="C508" s="78"/>
      <c r="D508" s="78"/>
      <c r="E508" s="78"/>
      <c r="F508" s="78"/>
      <c r="G508" s="78"/>
      <c r="H508" s="78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  <c r="Z508" s="78"/>
    </row>
    <row r="509" spans="1:26" ht="12.75" customHeight="1" x14ac:dyDescent="0.2">
      <c r="A509" s="78"/>
      <c r="B509" s="78"/>
      <c r="C509" s="78"/>
      <c r="D509" s="78"/>
      <c r="E509" s="78"/>
      <c r="F509" s="78"/>
      <c r="G509" s="78"/>
      <c r="H509" s="78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  <c r="Z509" s="78"/>
    </row>
    <row r="510" spans="1:26" ht="12.75" customHeight="1" x14ac:dyDescent="0.2">
      <c r="A510" s="78"/>
      <c r="B510" s="78"/>
      <c r="C510" s="78"/>
      <c r="D510" s="78"/>
      <c r="E510" s="78"/>
      <c r="F510" s="78"/>
      <c r="G510" s="78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  <c r="Z510" s="78"/>
    </row>
    <row r="511" spans="1:26" ht="12.75" customHeight="1" x14ac:dyDescent="0.2">
      <c r="A511" s="78"/>
      <c r="B511" s="78"/>
      <c r="C511" s="78"/>
      <c r="D511" s="78"/>
      <c r="E511" s="78"/>
      <c r="F511" s="78"/>
      <c r="G511" s="78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  <c r="Z511" s="78"/>
    </row>
    <row r="512" spans="1:26" ht="12.75" customHeight="1" x14ac:dyDescent="0.2">
      <c r="A512" s="78"/>
      <c r="B512" s="78"/>
      <c r="C512" s="78"/>
      <c r="D512" s="78"/>
      <c r="E512" s="78"/>
      <c r="F512" s="78"/>
      <c r="G512" s="78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  <c r="Z512" s="78"/>
    </row>
    <row r="513" spans="1:26" ht="12.75" customHeight="1" x14ac:dyDescent="0.2">
      <c r="A513" s="78"/>
      <c r="B513" s="78"/>
      <c r="C513" s="78"/>
      <c r="D513" s="78"/>
      <c r="E513" s="78"/>
      <c r="F513" s="78"/>
      <c r="G513" s="78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  <c r="Z513" s="78"/>
    </row>
    <row r="514" spans="1:26" ht="12.75" customHeight="1" x14ac:dyDescent="0.2">
      <c r="A514" s="78"/>
      <c r="B514" s="78"/>
      <c r="C514" s="78"/>
      <c r="D514" s="78"/>
      <c r="E514" s="78"/>
      <c r="F514" s="78"/>
      <c r="G514" s="78"/>
      <c r="H514" s="78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  <c r="Z514" s="78"/>
    </row>
    <row r="515" spans="1:26" ht="12.75" customHeight="1" x14ac:dyDescent="0.2">
      <c r="A515" s="78"/>
      <c r="B515" s="78"/>
      <c r="C515" s="78"/>
      <c r="D515" s="78"/>
      <c r="E515" s="78"/>
      <c r="F515" s="78"/>
      <c r="G515" s="78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  <c r="Z515" s="78"/>
    </row>
    <row r="516" spans="1:26" ht="12.75" customHeight="1" x14ac:dyDescent="0.2">
      <c r="A516" s="78"/>
      <c r="B516" s="78"/>
      <c r="C516" s="78"/>
      <c r="D516" s="78"/>
      <c r="E516" s="78"/>
      <c r="F516" s="78"/>
      <c r="G516" s="78"/>
      <c r="H516" s="78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  <c r="Z516" s="78"/>
    </row>
    <row r="517" spans="1:26" ht="12.75" customHeight="1" x14ac:dyDescent="0.2">
      <c r="A517" s="78"/>
      <c r="B517" s="78"/>
      <c r="C517" s="78"/>
      <c r="D517" s="78"/>
      <c r="E517" s="78"/>
      <c r="F517" s="78"/>
      <c r="G517" s="78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  <c r="Z517" s="78"/>
    </row>
    <row r="518" spans="1:26" ht="12.75" customHeight="1" x14ac:dyDescent="0.2">
      <c r="A518" s="78"/>
      <c r="B518" s="78"/>
      <c r="C518" s="78"/>
      <c r="D518" s="78"/>
      <c r="E518" s="78"/>
      <c r="F518" s="78"/>
      <c r="G518" s="78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  <c r="Z518" s="78"/>
    </row>
    <row r="519" spans="1:26" ht="12.75" customHeight="1" x14ac:dyDescent="0.2">
      <c r="A519" s="78"/>
      <c r="B519" s="78"/>
      <c r="C519" s="78"/>
      <c r="D519" s="78"/>
      <c r="E519" s="78"/>
      <c r="F519" s="78"/>
      <c r="G519" s="78"/>
      <c r="H519" s="78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  <c r="Z519" s="78"/>
    </row>
    <row r="520" spans="1:26" ht="12.75" customHeight="1" x14ac:dyDescent="0.2">
      <c r="A520" s="78"/>
      <c r="B520" s="78"/>
      <c r="C520" s="78"/>
      <c r="D520" s="78"/>
      <c r="E520" s="78"/>
      <c r="F520" s="78"/>
      <c r="G520" s="78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  <c r="Z520" s="78"/>
    </row>
    <row r="521" spans="1:26" ht="12.75" customHeight="1" x14ac:dyDescent="0.2">
      <c r="A521" s="78"/>
      <c r="B521" s="78"/>
      <c r="C521" s="78"/>
      <c r="D521" s="78"/>
      <c r="E521" s="78"/>
      <c r="F521" s="78"/>
      <c r="G521" s="78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  <c r="Z521" s="78"/>
    </row>
    <row r="522" spans="1:26" ht="12.75" customHeight="1" x14ac:dyDescent="0.2">
      <c r="A522" s="78"/>
      <c r="B522" s="78"/>
      <c r="C522" s="78"/>
      <c r="D522" s="78"/>
      <c r="E522" s="78"/>
      <c r="F522" s="78"/>
      <c r="G522" s="78"/>
      <c r="H522" s="78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  <c r="Z522" s="78"/>
    </row>
    <row r="523" spans="1:26" ht="12.75" customHeight="1" x14ac:dyDescent="0.2">
      <c r="A523" s="78"/>
      <c r="B523" s="78"/>
      <c r="C523" s="78"/>
      <c r="D523" s="78"/>
      <c r="E523" s="78"/>
      <c r="F523" s="78"/>
      <c r="G523" s="78"/>
      <c r="H523" s="78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</row>
    <row r="524" spans="1:26" ht="12.75" customHeight="1" x14ac:dyDescent="0.2">
      <c r="A524" s="78"/>
      <c r="B524" s="78"/>
      <c r="C524" s="78"/>
      <c r="D524" s="78"/>
      <c r="E524" s="78"/>
      <c r="F524" s="78"/>
      <c r="G524" s="78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  <c r="Z524" s="78"/>
    </row>
    <row r="525" spans="1:26" ht="12.75" customHeight="1" x14ac:dyDescent="0.2">
      <c r="A525" s="78"/>
      <c r="B525" s="78"/>
      <c r="C525" s="78"/>
      <c r="D525" s="78"/>
      <c r="E525" s="78"/>
      <c r="F525" s="78"/>
      <c r="G525" s="78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  <c r="Z525" s="78"/>
    </row>
    <row r="526" spans="1:26" ht="12.75" customHeight="1" x14ac:dyDescent="0.2">
      <c r="A526" s="78"/>
      <c r="B526" s="78"/>
      <c r="C526" s="78"/>
      <c r="D526" s="78"/>
      <c r="E526" s="78"/>
      <c r="F526" s="78"/>
      <c r="G526" s="78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  <c r="Z526" s="78"/>
    </row>
    <row r="527" spans="1:26" ht="12.75" customHeight="1" x14ac:dyDescent="0.2">
      <c r="A527" s="78"/>
      <c r="B527" s="78"/>
      <c r="C527" s="78"/>
      <c r="D527" s="78"/>
      <c r="E527" s="78"/>
      <c r="F527" s="78"/>
      <c r="G527" s="78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8"/>
      <c r="Z527" s="78"/>
    </row>
    <row r="528" spans="1:26" ht="12.75" customHeight="1" x14ac:dyDescent="0.2">
      <c r="A528" s="78"/>
      <c r="B528" s="78"/>
      <c r="C528" s="78"/>
      <c r="D528" s="78"/>
      <c r="E528" s="78"/>
      <c r="F528" s="78"/>
      <c r="G528" s="78"/>
      <c r="H528" s="78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  <c r="Z528" s="78"/>
    </row>
    <row r="529" spans="1:26" ht="12.75" customHeight="1" x14ac:dyDescent="0.2">
      <c r="A529" s="78"/>
      <c r="B529" s="78"/>
      <c r="C529" s="78"/>
      <c r="D529" s="78"/>
      <c r="E529" s="78"/>
      <c r="F529" s="78"/>
      <c r="G529" s="78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  <c r="Z529" s="78"/>
    </row>
    <row r="530" spans="1:26" ht="12.75" customHeight="1" x14ac:dyDescent="0.2">
      <c r="A530" s="78"/>
      <c r="B530" s="78"/>
      <c r="C530" s="78"/>
      <c r="D530" s="78"/>
      <c r="E530" s="78"/>
      <c r="F530" s="78"/>
      <c r="G530" s="78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  <c r="Z530" s="78"/>
    </row>
    <row r="531" spans="1:26" ht="12.75" customHeight="1" x14ac:dyDescent="0.2">
      <c r="A531" s="78"/>
      <c r="B531" s="78"/>
      <c r="C531" s="78"/>
      <c r="D531" s="78"/>
      <c r="E531" s="78"/>
      <c r="F531" s="78"/>
      <c r="G531" s="78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  <c r="Z531" s="78"/>
    </row>
    <row r="532" spans="1:26" ht="12.75" customHeight="1" x14ac:dyDescent="0.2">
      <c r="A532" s="78"/>
      <c r="B532" s="78"/>
      <c r="C532" s="78"/>
      <c r="D532" s="78"/>
      <c r="E532" s="78"/>
      <c r="F532" s="78"/>
      <c r="G532" s="78"/>
      <c r="H532" s="78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  <c r="Z532" s="78"/>
    </row>
    <row r="533" spans="1:26" ht="12.75" customHeight="1" x14ac:dyDescent="0.2">
      <c r="A533" s="78"/>
      <c r="B533" s="78"/>
      <c r="C533" s="78"/>
      <c r="D533" s="78"/>
      <c r="E533" s="78"/>
      <c r="F533" s="78"/>
      <c r="G533" s="78"/>
      <c r="H533" s="78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  <c r="Z533" s="78"/>
    </row>
    <row r="534" spans="1:26" ht="12.75" customHeight="1" x14ac:dyDescent="0.2">
      <c r="A534" s="78"/>
      <c r="B534" s="78"/>
      <c r="C534" s="78"/>
      <c r="D534" s="78"/>
      <c r="E534" s="78"/>
      <c r="F534" s="78"/>
      <c r="G534" s="78"/>
      <c r="H534" s="78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  <c r="Z534" s="78"/>
    </row>
    <row r="535" spans="1:26" ht="12.75" customHeight="1" x14ac:dyDescent="0.2">
      <c r="A535" s="78"/>
      <c r="B535" s="78"/>
      <c r="C535" s="78"/>
      <c r="D535" s="78"/>
      <c r="E535" s="78"/>
      <c r="F535" s="78"/>
      <c r="G535" s="78"/>
      <c r="H535" s="78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  <c r="Z535" s="78"/>
    </row>
    <row r="536" spans="1:26" ht="12.75" customHeight="1" x14ac:dyDescent="0.2">
      <c r="A536" s="78"/>
      <c r="B536" s="78"/>
      <c r="C536" s="78"/>
      <c r="D536" s="78"/>
      <c r="E536" s="78"/>
      <c r="F536" s="78"/>
      <c r="G536" s="78"/>
      <c r="H536" s="78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  <c r="Z536" s="78"/>
    </row>
    <row r="537" spans="1:26" ht="12.75" customHeight="1" x14ac:dyDescent="0.2">
      <c r="A537" s="78"/>
      <c r="B537" s="78"/>
      <c r="C537" s="78"/>
      <c r="D537" s="78"/>
      <c r="E537" s="78"/>
      <c r="F537" s="78"/>
      <c r="G537" s="78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  <c r="Z537" s="78"/>
    </row>
    <row r="538" spans="1:26" ht="12.75" customHeight="1" x14ac:dyDescent="0.2">
      <c r="A538" s="78"/>
      <c r="B538" s="78"/>
      <c r="C538" s="78"/>
      <c r="D538" s="78"/>
      <c r="E538" s="78"/>
      <c r="F538" s="78"/>
      <c r="G538" s="78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  <c r="Z538" s="78"/>
    </row>
    <row r="539" spans="1:26" ht="12.75" customHeight="1" x14ac:dyDescent="0.2">
      <c r="A539" s="78"/>
      <c r="B539" s="78"/>
      <c r="C539" s="78"/>
      <c r="D539" s="78"/>
      <c r="E539" s="78"/>
      <c r="F539" s="78"/>
      <c r="G539" s="78"/>
      <c r="H539" s="78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  <c r="Z539" s="78"/>
    </row>
    <row r="540" spans="1:26" ht="12.75" customHeight="1" x14ac:dyDescent="0.2">
      <c r="A540" s="78"/>
      <c r="B540" s="78"/>
      <c r="C540" s="78"/>
      <c r="D540" s="78"/>
      <c r="E540" s="78"/>
      <c r="F540" s="78"/>
      <c r="G540" s="78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  <c r="Z540" s="78"/>
    </row>
    <row r="541" spans="1:26" ht="12.75" customHeight="1" x14ac:dyDescent="0.2">
      <c r="A541" s="78"/>
      <c r="B541" s="78"/>
      <c r="C541" s="78"/>
      <c r="D541" s="78"/>
      <c r="E541" s="78"/>
      <c r="F541" s="78"/>
      <c r="G541" s="78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</row>
    <row r="542" spans="1:26" ht="12.75" customHeight="1" x14ac:dyDescent="0.2">
      <c r="A542" s="78"/>
      <c r="B542" s="78"/>
      <c r="C542" s="78"/>
      <c r="D542" s="78"/>
      <c r="E542" s="78"/>
      <c r="F542" s="78"/>
      <c r="G542" s="78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  <c r="Z542" s="78"/>
    </row>
    <row r="543" spans="1:26" ht="12.75" customHeight="1" x14ac:dyDescent="0.2">
      <c r="A543" s="78"/>
      <c r="B543" s="78"/>
      <c r="C543" s="78"/>
      <c r="D543" s="78"/>
      <c r="E543" s="78"/>
      <c r="F543" s="78"/>
      <c r="G543" s="78"/>
      <c r="H543" s="78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  <c r="Z543" s="78"/>
    </row>
    <row r="544" spans="1:26" ht="12.75" customHeight="1" x14ac:dyDescent="0.2">
      <c r="A544" s="78"/>
      <c r="B544" s="78"/>
      <c r="C544" s="78"/>
      <c r="D544" s="78"/>
      <c r="E544" s="78"/>
      <c r="F544" s="78"/>
      <c r="G544" s="78"/>
      <c r="H544" s="78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  <c r="Z544" s="78"/>
    </row>
    <row r="545" spans="1:26" ht="12.75" customHeight="1" x14ac:dyDescent="0.2">
      <c r="A545" s="78"/>
      <c r="B545" s="78"/>
      <c r="C545" s="78"/>
      <c r="D545" s="78"/>
      <c r="E545" s="78"/>
      <c r="F545" s="78"/>
      <c r="G545" s="78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8"/>
      <c r="Z545" s="78"/>
    </row>
    <row r="546" spans="1:26" ht="12.75" customHeight="1" x14ac:dyDescent="0.2">
      <c r="A546" s="78"/>
      <c r="B546" s="78"/>
      <c r="C546" s="78"/>
      <c r="D546" s="78"/>
      <c r="E546" s="78"/>
      <c r="F546" s="78"/>
      <c r="G546" s="78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  <c r="Z546" s="78"/>
    </row>
    <row r="547" spans="1:26" ht="12.75" customHeight="1" x14ac:dyDescent="0.2">
      <c r="A547" s="78"/>
      <c r="B547" s="78"/>
      <c r="C547" s="78"/>
      <c r="D547" s="78"/>
      <c r="E547" s="78"/>
      <c r="F547" s="78"/>
      <c r="G547" s="78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8"/>
      <c r="Z547" s="78"/>
    </row>
    <row r="548" spans="1:26" ht="12.75" customHeight="1" x14ac:dyDescent="0.2">
      <c r="A548" s="78"/>
      <c r="B548" s="78"/>
      <c r="C548" s="78"/>
      <c r="D548" s="78"/>
      <c r="E548" s="78"/>
      <c r="F548" s="78"/>
      <c r="G548" s="78"/>
      <c r="H548" s="78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  <c r="Z548" s="78"/>
    </row>
    <row r="549" spans="1:26" ht="12.75" customHeight="1" x14ac:dyDescent="0.2">
      <c r="A549" s="78"/>
      <c r="B549" s="78"/>
      <c r="C549" s="78"/>
      <c r="D549" s="78"/>
      <c r="E549" s="78"/>
      <c r="F549" s="78"/>
      <c r="G549" s="78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  <c r="Z549" s="78"/>
    </row>
    <row r="550" spans="1:26" ht="12.75" customHeight="1" x14ac:dyDescent="0.2">
      <c r="A550" s="78"/>
      <c r="B550" s="78"/>
      <c r="C550" s="78"/>
      <c r="D550" s="78"/>
      <c r="E550" s="78"/>
      <c r="F550" s="78"/>
      <c r="G550" s="78"/>
      <c r="H550" s="78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  <c r="Z550" s="78"/>
    </row>
    <row r="551" spans="1:26" ht="12.75" customHeight="1" x14ac:dyDescent="0.2">
      <c r="A551" s="78"/>
      <c r="B551" s="78"/>
      <c r="C551" s="78"/>
      <c r="D551" s="78"/>
      <c r="E551" s="78"/>
      <c r="F551" s="78"/>
      <c r="G551" s="78"/>
      <c r="H551" s="78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  <c r="Z551" s="78"/>
    </row>
    <row r="552" spans="1:26" ht="12.75" customHeight="1" x14ac:dyDescent="0.2">
      <c r="A552" s="78"/>
      <c r="B552" s="78"/>
      <c r="C552" s="78"/>
      <c r="D552" s="78"/>
      <c r="E552" s="78"/>
      <c r="F552" s="78"/>
      <c r="G552" s="78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  <c r="Z552" s="78"/>
    </row>
    <row r="553" spans="1:26" ht="12.75" customHeight="1" x14ac:dyDescent="0.2">
      <c r="A553" s="78"/>
      <c r="B553" s="78"/>
      <c r="C553" s="78"/>
      <c r="D553" s="78"/>
      <c r="E553" s="78"/>
      <c r="F553" s="78"/>
      <c r="G553" s="78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  <c r="Z553" s="78"/>
    </row>
    <row r="554" spans="1:26" ht="12.75" customHeight="1" x14ac:dyDescent="0.2">
      <c r="A554" s="78"/>
      <c r="B554" s="78"/>
      <c r="C554" s="78"/>
      <c r="D554" s="78"/>
      <c r="E554" s="78"/>
      <c r="F554" s="78"/>
      <c r="G554" s="78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  <c r="Z554" s="78"/>
    </row>
    <row r="555" spans="1:26" ht="12.75" customHeight="1" x14ac:dyDescent="0.2">
      <c r="A555" s="78"/>
      <c r="B555" s="78"/>
      <c r="C555" s="78"/>
      <c r="D555" s="78"/>
      <c r="E555" s="78"/>
      <c r="F555" s="78"/>
      <c r="G555" s="78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  <c r="Z555" s="78"/>
    </row>
    <row r="556" spans="1:26" ht="12.75" customHeight="1" x14ac:dyDescent="0.2">
      <c r="A556" s="78"/>
      <c r="B556" s="78"/>
      <c r="C556" s="78"/>
      <c r="D556" s="78"/>
      <c r="E556" s="78"/>
      <c r="F556" s="78"/>
      <c r="G556" s="78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  <c r="Z556" s="78"/>
    </row>
    <row r="557" spans="1:26" ht="12.75" customHeight="1" x14ac:dyDescent="0.2">
      <c r="A557" s="78"/>
      <c r="B557" s="78"/>
      <c r="C557" s="78"/>
      <c r="D557" s="78"/>
      <c r="E557" s="78"/>
      <c r="F557" s="78"/>
      <c r="G557" s="78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  <c r="Z557" s="78"/>
    </row>
    <row r="558" spans="1:26" ht="12.75" customHeight="1" x14ac:dyDescent="0.2">
      <c r="A558" s="78"/>
      <c r="B558" s="78"/>
      <c r="C558" s="78"/>
      <c r="D558" s="78"/>
      <c r="E558" s="78"/>
      <c r="F558" s="78"/>
      <c r="G558" s="78"/>
      <c r="H558" s="78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8"/>
      <c r="Z558" s="78"/>
    </row>
    <row r="559" spans="1:26" ht="12.75" customHeight="1" x14ac:dyDescent="0.2">
      <c r="A559" s="78"/>
      <c r="B559" s="78"/>
      <c r="C559" s="78"/>
      <c r="D559" s="78"/>
      <c r="E559" s="78"/>
      <c r="F559" s="78"/>
      <c r="G559" s="78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  <c r="Z559" s="78"/>
    </row>
    <row r="560" spans="1:26" ht="12.75" customHeight="1" x14ac:dyDescent="0.2">
      <c r="A560" s="78"/>
      <c r="B560" s="78"/>
      <c r="C560" s="78"/>
      <c r="D560" s="78"/>
      <c r="E560" s="78"/>
      <c r="F560" s="78"/>
      <c r="G560" s="78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8"/>
      <c r="Z560" s="78"/>
    </row>
    <row r="561" spans="1:26" ht="12.75" customHeight="1" x14ac:dyDescent="0.2">
      <c r="A561" s="78"/>
      <c r="B561" s="78"/>
      <c r="C561" s="78"/>
      <c r="D561" s="78"/>
      <c r="E561" s="78"/>
      <c r="F561" s="78"/>
      <c r="G561" s="78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  <c r="Z561" s="78"/>
    </row>
    <row r="562" spans="1:26" ht="12.75" customHeight="1" x14ac:dyDescent="0.2">
      <c r="A562" s="78"/>
      <c r="B562" s="78"/>
      <c r="C562" s="78"/>
      <c r="D562" s="78"/>
      <c r="E562" s="78"/>
      <c r="F562" s="78"/>
      <c r="G562" s="78"/>
      <c r="H562" s="78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  <c r="Z562" s="78"/>
    </row>
    <row r="563" spans="1:26" ht="12.75" customHeight="1" x14ac:dyDescent="0.2">
      <c r="A563" s="78"/>
      <c r="B563" s="78"/>
      <c r="C563" s="78"/>
      <c r="D563" s="78"/>
      <c r="E563" s="78"/>
      <c r="F563" s="78"/>
      <c r="G563" s="78"/>
      <c r="H563" s="78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</row>
    <row r="564" spans="1:26" ht="12.75" customHeight="1" x14ac:dyDescent="0.2">
      <c r="A564" s="78"/>
      <c r="B564" s="78"/>
      <c r="C564" s="78"/>
      <c r="D564" s="78"/>
      <c r="E564" s="78"/>
      <c r="F564" s="78"/>
      <c r="G564" s="78"/>
      <c r="H564" s="78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  <c r="Z564" s="78"/>
    </row>
    <row r="565" spans="1:26" ht="12.75" customHeight="1" x14ac:dyDescent="0.2">
      <c r="A565" s="78"/>
      <c r="B565" s="78"/>
      <c r="C565" s="78"/>
      <c r="D565" s="78"/>
      <c r="E565" s="78"/>
      <c r="F565" s="78"/>
      <c r="G565" s="78"/>
      <c r="H565" s="78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  <c r="Z565" s="78"/>
    </row>
    <row r="566" spans="1:26" ht="12.75" customHeight="1" x14ac:dyDescent="0.2">
      <c r="A566" s="78"/>
      <c r="B566" s="78"/>
      <c r="C566" s="78"/>
      <c r="D566" s="78"/>
      <c r="E566" s="78"/>
      <c r="F566" s="78"/>
      <c r="G566" s="78"/>
      <c r="H566" s="78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8"/>
      <c r="Z566" s="78"/>
    </row>
    <row r="567" spans="1:26" ht="12.75" customHeight="1" x14ac:dyDescent="0.2">
      <c r="A567" s="78"/>
      <c r="B567" s="78"/>
      <c r="C567" s="78"/>
      <c r="D567" s="78"/>
      <c r="E567" s="78"/>
      <c r="F567" s="78"/>
      <c r="G567" s="78"/>
      <c r="H567" s="78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8"/>
      <c r="Z567" s="78"/>
    </row>
    <row r="568" spans="1:26" ht="12.75" customHeight="1" x14ac:dyDescent="0.2">
      <c r="A568" s="78"/>
      <c r="B568" s="78"/>
      <c r="C568" s="78"/>
      <c r="D568" s="78"/>
      <c r="E568" s="78"/>
      <c r="F568" s="78"/>
      <c r="G568" s="78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8"/>
      <c r="Z568" s="78"/>
    </row>
    <row r="569" spans="1:26" ht="12.75" customHeight="1" x14ac:dyDescent="0.2">
      <c r="A569" s="78"/>
      <c r="B569" s="78"/>
      <c r="C569" s="78"/>
      <c r="D569" s="78"/>
      <c r="E569" s="78"/>
      <c r="F569" s="78"/>
      <c r="G569" s="78"/>
      <c r="H569" s="78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  <c r="Z569" s="78"/>
    </row>
    <row r="570" spans="1:26" ht="12.75" customHeight="1" x14ac:dyDescent="0.2">
      <c r="A570" s="78"/>
      <c r="B570" s="78"/>
      <c r="C570" s="78"/>
      <c r="D570" s="78"/>
      <c r="E570" s="78"/>
      <c r="F570" s="78"/>
      <c r="G570" s="78"/>
      <c r="H570" s="78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  <c r="Z570" s="78"/>
    </row>
    <row r="571" spans="1:26" ht="12.75" customHeight="1" x14ac:dyDescent="0.2">
      <c r="A571" s="78"/>
      <c r="B571" s="78"/>
      <c r="C571" s="78"/>
      <c r="D571" s="78"/>
      <c r="E571" s="78"/>
      <c r="F571" s="78"/>
      <c r="G571" s="78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  <c r="Z571" s="78"/>
    </row>
    <row r="572" spans="1:26" ht="12.75" customHeight="1" x14ac:dyDescent="0.2">
      <c r="A572" s="78"/>
      <c r="B572" s="78"/>
      <c r="C572" s="78"/>
      <c r="D572" s="78"/>
      <c r="E572" s="78"/>
      <c r="F572" s="78"/>
      <c r="G572" s="78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  <c r="Z572" s="78"/>
    </row>
    <row r="573" spans="1:26" ht="12.75" customHeight="1" x14ac:dyDescent="0.2">
      <c r="A573" s="78"/>
      <c r="B573" s="78"/>
      <c r="C573" s="78"/>
      <c r="D573" s="78"/>
      <c r="E573" s="78"/>
      <c r="F573" s="78"/>
      <c r="G573" s="78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  <c r="Z573" s="78"/>
    </row>
    <row r="574" spans="1:26" ht="12.75" customHeight="1" x14ac:dyDescent="0.2">
      <c r="A574" s="78"/>
      <c r="B574" s="78"/>
      <c r="C574" s="78"/>
      <c r="D574" s="78"/>
      <c r="E574" s="78"/>
      <c r="F574" s="78"/>
      <c r="G574" s="78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  <c r="Z574" s="78"/>
    </row>
    <row r="575" spans="1:26" ht="12.75" customHeight="1" x14ac:dyDescent="0.2">
      <c r="A575" s="78"/>
      <c r="B575" s="78"/>
      <c r="C575" s="78"/>
      <c r="D575" s="78"/>
      <c r="E575" s="78"/>
      <c r="F575" s="78"/>
      <c r="G575" s="78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  <c r="Z575" s="78"/>
    </row>
    <row r="576" spans="1:26" ht="12.75" customHeight="1" x14ac:dyDescent="0.2">
      <c r="A576" s="78"/>
      <c r="B576" s="78"/>
      <c r="C576" s="78"/>
      <c r="D576" s="78"/>
      <c r="E576" s="78"/>
      <c r="F576" s="78"/>
      <c r="G576" s="78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  <c r="Z576" s="78"/>
    </row>
    <row r="577" spans="1:26" ht="12.75" customHeight="1" x14ac:dyDescent="0.2">
      <c r="A577" s="78"/>
      <c r="B577" s="78"/>
      <c r="C577" s="78"/>
      <c r="D577" s="78"/>
      <c r="E577" s="78"/>
      <c r="F577" s="78"/>
      <c r="G577" s="78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  <c r="Z577" s="78"/>
    </row>
    <row r="578" spans="1:26" ht="12.75" customHeight="1" x14ac:dyDescent="0.2">
      <c r="A578" s="78"/>
      <c r="B578" s="78"/>
      <c r="C578" s="78"/>
      <c r="D578" s="78"/>
      <c r="E578" s="78"/>
      <c r="F578" s="78"/>
      <c r="G578" s="78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  <c r="Z578" s="78"/>
    </row>
    <row r="579" spans="1:26" ht="12.75" customHeight="1" x14ac:dyDescent="0.2">
      <c r="A579" s="78"/>
      <c r="B579" s="78"/>
      <c r="C579" s="78"/>
      <c r="D579" s="78"/>
      <c r="E579" s="78"/>
      <c r="F579" s="78"/>
      <c r="G579" s="78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  <c r="Z579" s="78"/>
    </row>
    <row r="580" spans="1:26" ht="12.75" customHeight="1" x14ac:dyDescent="0.2">
      <c r="A580" s="78"/>
      <c r="B580" s="78"/>
      <c r="C580" s="78"/>
      <c r="D580" s="78"/>
      <c r="E580" s="78"/>
      <c r="F580" s="78"/>
      <c r="G580" s="78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  <c r="Z580" s="78"/>
    </row>
    <row r="581" spans="1:26" ht="12.75" customHeight="1" x14ac:dyDescent="0.2">
      <c r="A581" s="78"/>
      <c r="B581" s="78"/>
      <c r="C581" s="78"/>
      <c r="D581" s="78"/>
      <c r="E581" s="78"/>
      <c r="F581" s="78"/>
      <c r="G581" s="78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  <c r="Z581" s="78"/>
    </row>
    <row r="582" spans="1:26" ht="12.75" customHeight="1" x14ac:dyDescent="0.2">
      <c r="A582" s="78"/>
      <c r="B582" s="78"/>
      <c r="C582" s="78"/>
      <c r="D582" s="78"/>
      <c r="E582" s="78"/>
      <c r="F582" s="78"/>
      <c r="G582" s="78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</row>
    <row r="583" spans="1:26" ht="12.75" customHeight="1" x14ac:dyDescent="0.2">
      <c r="A583" s="78"/>
      <c r="B583" s="78"/>
      <c r="C583" s="78"/>
      <c r="D583" s="78"/>
      <c r="E583" s="78"/>
      <c r="F583" s="78"/>
      <c r="G583" s="78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  <c r="Z583" s="78"/>
    </row>
    <row r="584" spans="1:26" ht="12.75" customHeight="1" x14ac:dyDescent="0.2">
      <c r="A584" s="78"/>
      <c r="B584" s="78"/>
      <c r="C584" s="78"/>
      <c r="D584" s="78"/>
      <c r="E584" s="78"/>
      <c r="F584" s="78"/>
      <c r="G584" s="78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  <c r="Z584" s="78"/>
    </row>
    <row r="585" spans="1:26" ht="12.75" customHeight="1" x14ac:dyDescent="0.2">
      <c r="A585" s="78"/>
      <c r="B585" s="78"/>
      <c r="C585" s="78"/>
      <c r="D585" s="78"/>
      <c r="E585" s="78"/>
      <c r="F585" s="78"/>
      <c r="G585" s="78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  <c r="Z585" s="78"/>
    </row>
    <row r="586" spans="1:26" ht="12.75" customHeight="1" x14ac:dyDescent="0.2">
      <c r="A586" s="78"/>
      <c r="B586" s="78"/>
      <c r="C586" s="78"/>
      <c r="D586" s="78"/>
      <c r="E586" s="78"/>
      <c r="F586" s="78"/>
      <c r="G586" s="78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  <c r="Z586" s="78"/>
    </row>
    <row r="587" spans="1:26" ht="12.75" customHeight="1" x14ac:dyDescent="0.2">
      <c r="A587" s="78"/>
      <c r="B587" s="78"/>
      <c r="C587" s="78"/>
      <c r="D587" s="78"/>
      <c r="E587" s="78"/>
      <c r="F587" s="78"/>
      <c r="G587" s="78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  <c r="Z587" s="78"/>
    </row>
    <row r="588" spans="1:26" ht="12.75" customHeight="1" x14ac:dyDescent="0.2">
      <c r="A588" s="78"/>
      <c r="B588" s="78"/>
      <c r="C588" s="78"/>
      <c r="D588" s="78"/>
      <c r="E588" s="78"/>
      <c r="F588" s="78"/>
      <c r="G588" s="78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  <c r="Z588" s="78"/>
    </row>
    <row r="589" spans="1:26" ht="12.75" customHeight="1" x14ac:dyDescent="0.2">
      <c r="A589" s="78"/>
      <c r="B589" s="78"/>
      <c r="C589" s="78"/>
      <c r="D589" s="78"/>
      <c r="E589" s="78"/>
      <c r="F589" s="78"/>
      <c r="G589" s="78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  <c r="Z589" s="78"/>
    </row>
    <row r="590" spans="1:26" ht="12.75" customHeight="1" x14ac:dyDescent="0.2">
      <c r="A590" s="78"/>
      <c r="B590" s="78"/>
      <c r="C590" s="78"/>
      <c r="D590" s="78"/>
      <c r="E590" s="78"/>
      <c r="F590" s="78"/>
      <c r="G590" s="78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  <c r="Z590" s="78"/>
    </row>
    <row r="591" spans="1:26" ht="12.75" customHeight="1" x14ac:dyDescent="0.2">
      <c r="A591" s="78"/>
      <c r="B591" s="78"/>
      <c r="C591" s="78"/>
      <c r="D591" s="78"/>
      <c r="E591" s="78"/>
      <c r="F591" s="78"/>
      <c r="G591" s="78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  <c r="Z591" s="78"/>
    </row>
    <row r="592" spans="1:26" ht="12.75" customHeight="1" x14ac:dyDescent="0.2">
      <c r="A592" s="78"/>
      <c r="B592" s="78"/>
      <c r="C592" s="78"/>
      <c r="D592" s="78"/>
      <c r="E592" s="78"/>
      <c r="F592" s="78"/>
      <c r="G592" s="78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  <c r="Z592" s="78"/>
    </row>
    <row r="593" spans="1:26" ht="12.75" customHeight="1" x14ac:dyDescent="0.2">
      <c r="A593" s="78"/>
      <c r="B593" s="78"/>
      <c r="C593" s="78"/>
      <c r="D593" s="78"/>
      <c r="E593" s="78"/>
      <c r="F593" s="78"/>
      <c r="G593" s="78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  <c r="Z593" s="78"/>
    </row>
    <row r="594" spans="1:26" ht="12.75" customHeight="1" x14ac:dyDescent="0.2">
      <c r="A594" s="78"/>
      <c r="B594" s="78"/>
      <c r="C594" s="78"/>
      <c r="D594" s="78"/>
      <c r="E594" s="78"/>
      <c r="F594" s="78"/>
      <c r="G594" s="78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</row>
    <row r="595" spans="1:26" ht="12.75" customHeight="1" x14ac:dyDescent="0.2">
      <c r="A595" s="78"/>
      <c r="B595" s="78"/>
      <c r="C595" s="78"/>
      <c r="D595" s="78"/>
      <c r="E595" s="78"/>
      <c r="F595" s="78"/>
      <c r="G595" s="78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</row>
    <row r="596" spans="1:26" ht="12.75" customHeight="1" x14ac:dyDescent="0.2">
      <c r="A596" s="78"/>
      <c r="B596" s="78"/>
      <c r="C596" s="78"/>
      <c r="D596" s="78"/>
      <c r="E596" s="78"/>
      <c r="F596" s="78"/>
      <c r="G596" s="78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  <c r="Z596" s="78"/>
    </row>
    <row r="597" spans="1:26" ht="12.75" customHeight="1" x14ac:dyDescent="0.2">
      <c r="A597" s="78"/>
      <c r="B597" s="78"/>
      <c r="C597" s="78"/>
      <c r="D597" s="78"/>
      <c r="E597" s="78"/>
      <c r="F597" s="78"/>
      <c r="G597" s="78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  <c r="Z597" s="78"/>
    </row>
    <row r="598" spans="1:26" ht="12.75" customHeight="1" x14ac:dyDescent="0.2">
      <c r="A598" s="78"/>
      <c r="B598" s="78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</row>
    <row r="599" spans="1:26" ht="12.75" customHeight="1" x14ac:dyDescent="0.2">
      <c r="A599" s="78"/>
      <c r="B599" s="78"/>
      <c r="C599" s="78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</row>
    <row r="600" spans="1:26" ht="12.75" customHeight="1" x14ac:dyDescent="0.2">
      <c r="A600" s="78"/>
      <c r="B600" s="78"/>
      <c r="C600" s="78"/>
      <c r="D600" s="78"/>
      <c r="E600" s="78"/>
      <c r="F600" s="78"/>
      <c r="G600" s="78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  <c r="Z600" s="78"/>
    </row>
    <row r="601" spans="1:26" ht="12.75" customHeight="1" x14ac:dyDescent="0.2">
      <c r="A601" s="78"/>
      <c r="B601" s="78"/>
      <c r="C601" s="78"/>
      <c r="D601" s="78"/>
      <c r="E601" s="78"/>
      <c r="F601" s="78"/>
      <c r="G601" s="78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  <c r="Z601" s="78"/>
    </row>
    <row r="602" spans="1:26" ht="12.75" customHeight="1" x14ac:dyDescent="0.2">
      <c r="A602" s="78"/>
      <c r="B602" s="78"/>
      <c r="C602" s="78"/>
      <c r="D602" s="78"/>
      <c r="E602" s="78"/>
      <c r="F602" s="78"/>
      <c r="G602" s="78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  <c r="Z602" s="78"/>
    </row>
    <row r="603" spans="1:26" ht="12.75" customHeight="1" x14ac:dyDescent="0.2">
      <c r="A603" s="78"/>
      <c r="B603" s="78"/>
      <c r="C603" s="78"/>
      <c r="D603" s="78"/>
      <c r="E603" s="78"/>
      <c r="F603" s="78"/>
      <c r="G603" s="78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</row>
    <row r="604" spans="1:26" ht="12.75" customHeight="1" x14ac:dyDescent="0.2">
      <c r="A604" s="78"/>
      <c r="B604" s="78"/>
      <c r="C604" s="78"/>
      <c r="D604" s="78"/>
      <c r="E604" s="78"/>
      <c r="F604" s="78"/>
      <c r="G604" s="78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  <c r="Z604" s="78"/>
    </row>
    <row r="605" spans="1:26" ht="12.75" customHeight="1" x14ac:dyDescent="0.2">
      <c r="A605" s="78"/>
      <c r="B605" s="78"/>
      <c r="C605" s="78"/>
      <c r="D605" s="78"/>
      <c r="E605" s="78"/>
      <c r="F605" s="78"/>
      <c r="G605" s="78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</row>
    <row r="606" spans="1:26" ht="12.75" customHeight="1" x14ac:dyDescent="0.2">
      <c r="A606" s="78"/>
      <c r="B606" s="78"/>
      <c r="C606" s="78"/>
      <c r="D606" s="78"/>
      <c r="E606" s="78"/>
      <c r="F606" s="78"/>
      <c r="G606" s="78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  <c r="Z606" s="78"/>
    </row>
    <row r="607" spans="1:26" ht="12.75" customHeight="1" x14ac:dyDescent="0.2">
      <c r="A607" s="78"/>
      <c r="B607" s="78"/>
      <c r="C607" s="78"/>
      <c r="D607" s="78"/>
      <c r="E607" s="78"/>
      <c r="F607" s="78"/>
      <c r="G607" s="78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  <c r="Z607" s="78"/>
    </row>
    <row r="608" spans="1:26" ht="12.75" customHeight="1" x14ac:dyDescent="0.2">
      <c r="A608" s="78"/>
      <c r="B608" s="78"/>
      <c r="C608" s="78"/>
      <c r="D608" s="78"/>
      <c r="E608" s="78"/>
      <c r="F608" s="78"/>
      <c r="G608" s="78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  <c r="Z608" s="78"/>
    </row>
    <row r="609" spans="1:26" ht="12.75" customHeight="1" x14ac:dyDescent="0.2">
      <c r="A609" s="78"/>
      <c r="B609" s="78"/>
      <c r="C609" s="78"/>
      <c r="D609" s="78"/>
      <c r="E609" s="78"/>
      <c r="F609" s="78"/>
      <c r="G609" s="78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  <c r="Z609" s="78"/>
    </row>
    <row r="610" spans="1:26" ht="12.75" customHeight="1" x14ac:dyDescent="0.2">
      <c r="A610" s="78"/>
      <c r="B610" s="78"/>
      <c r="C610" s="78"/>
      <c r="D610" s="78"/>
      <c r="E610" s="78"/>
      <c r="F610" s="78"/>
      <c r="G610" s="78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  <c r="Z610" s="78"/>
    </row>
    <row r="611" spans="1:26" ht="12.75" customHeight="1" x14ac:dyDescent="0.2">
      <c r="A611" s="78"/>
      <c r="B611" s="78"/>
      <c r="C611" s="78"/>
      <c r="D611" s="78"/>
      <c r="E611" s="78"/>
      <c r="F611" s="78"/>
      <c r="G611" s="78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  <c r="Z611" s="78"/>
    </row>
    <row r="612" spans="1:26" ht="12.75" customHeight="1" x14ac:dyDescent="0.2">
      <c r="A612" s="78"/>
      <c r="B612" s="78"/>
      <c r="C612" s="78"/>
      <c r="D612" s="78"/>
      <c r="E612" s="78"/>
      <c r="F612" s="78"/>
      <c r="G612" s="78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  <c r="Z612" s="78"/>
    </row>
    <row r="613" spans="1:26" ht="12.75" customHeight="1" x14ac:dyDescent="0.2">
      <c r="A613" s="78"/>
      <c r="B613" s="78"/>
      <c r="C613" s="78"/>
      <c r="D613" s="78"/>
      <c r="E613" s="78"/>
      <c r="F613" s="78"/>
      <c r="G613" s="78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  <c r="Z613" s="78"/>
    </row>
    <row r="614" spans="1:26" ht="12.75" customHeight="1" x14ac:dyDescent="0.2">
      <c r="A614" s="78"/>
      <c r="B614" s="78"/>
      <c r="C614" s="78"/>
      <c r="D614" s="78"/>
      <c r="E614" s="78"/>
      <c r="F614" s="78"/>
      <c r="G614" s="78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  <c r="Z614" s="78"/>
    </row>
    <row r="615" spans="1:26" ht="12.75" customHeight="1" x14ac:dyDescent="0.2">
      <c r="A615" s="78"/>
      <c r="B615" s="78"/>
      <c r="C615" s="78"/>
      <c r="D615" s="78"/>
      <c r="E615" s="78"/>
      <c r="F615" s="78"/>
      <c r="G615" s="78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  <c r="Z615" s="78"/>
    </row>
    <row r="616" spans="1:26" ht="12.75" customHeight="1" x14ac:dyDescent="0.2">
      <c r="A616" s="78"/>
      <c r="B616" s="78"/>
      <c r="C616" s="78"/>
      <c r="D616" s="78"/>
      <c r="E616" s="78"/>
      <c r="F616" s="78"/>
      <c r="G616" s="78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  <c r="Z616" s="78"/>
    </row>
    <row r="617" spans="1:26" ht="12.75" customHeight="1" x14ac:dyDescent="0.2">
      <c r="A617" s="78"/>
      <c r="B617" s="78"/>
      <c r="C617" s="78"/>
      <c r="D617" s="78"/>
      <c r="E617" s="78"/>
      <c r="F617" s="78"/>
      <c r="G617" s="78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  <c r="Z617" s="78"/>
    </row>
    <row r="618" spans="1:26" ht="12.75" customHeight="1" x14ac:dyDescent="0.2">
      <c r="A618" s="78"/>
      <c r="B618" s="78"/>
      <c r="C618" s="78"/>
      <c r="D618" s="78"/>
      <c r="E618" s="78"/>
      <c r="F618" s="78"/>
      <c r="G618" s="78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  <c r="Z618" s="78"/>
    </row>
    <row r="619" spans="1:26" ht="12.75" customHeight="1" x14ac:dyDescent="0.2">
      <c r="A619" s="78"/>
      <c r="B619" s="78"/>
      <c r="C619" s="78"/>
      <c r="D619" s="78"/>
      <c r="E619" s="78"/>
      <c r="F619" s="78"/>
      <c r="G619" s="78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  <c r="Z619" s="78"/>
    </row>
    <row r="620" spans="1:26" ht="12.75" customHeight="1" x14ac:dyDescent="0.2">
      <c r="A620" s="78"/>
      <c r="B620" s="78"/>
      <c r="C620" s="78"/>
      <c r="D620" s="78"/>
      <c r="E620" s="78"/>
      <c r="F620" s="78"/>
      <c r="G620" s="78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  <c r="Z620" s="78"/>
    </row>
    <row r="621" spans="1:26" ht="12.75" customHeight="1" x14ac:dyDescent="0.2">
      <c r="A621" s="78"/>
      <c r="B621" s="78"/>
      <c r="C621" s="78"/>
      <c r="D621" s="78"/>
      <c r="E621" s="78"/>
      <c r="F621" s="78"/>
      <c r="G621" s="78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  <c r="Z621" s="78"/>
    </row>
    <row r="622" spans="1:26" ht="12.75" customHeight="1" x14ac:dyDescent="0.2">
      <c r="A622" s="78"/>
      <c r="B622" s="78"/>
      <c r="C622" s="78"/>
      <c r="D622" s="78"/>
      <c r="E622" s="78"/>
      <c r="F622" s="78"/>
      <c r="G622" s="78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  <c r="Z622" s="78"/>
    </row>
    <row r="623" spans="1:26" ht="12.75" customHeight="1" x14ac:dyDescent="0.2">
      <c r="A623" s="78"/>
      <c r="B623" s="78"/>
      <c r="C623" s="78"/>
      <c r="D623" s="78"/>
      <c r="E623" s="78"/>
      <c r="F623" s="78"/>
      <c r="G623" s="78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  <c r="Z623" s="78"/>
    </row>
    <row r="624" spans="1:26" ht="12.75" customHeight="1" x14ac:dyDescent="0.2">
      <c r="A624" s="78"/>
      <c r="B624" s="78"/>
      <c r="C624" s="78"/>
      <c r="D624" s="78"/>
      <c r="E624" s="78"/>
      <c r="F624" s="78"/>
      <c r="G624" s="78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  <c r="Z624" s="78"/>
    </row>
    <row r="625" spans="1:26" ht="12.75" customHeight="1" x14ac:dyDescent="0.2">
      <c r="A625" s="78"/>
      <c r="B625" s="78"/>
      <c r="C625" s="78"/>
      <c r="D625" s="78"/>
      <c r="E625" s="78"/>
      <c r="F625" s="78"/>
      <c r="G625" s="78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  <c r="Z625" s="78"/>
    </row>
    <row r="626" spans="1:26" ht="12.75" customHeight="1" x14ac:dyDescent="0.2">
      <c r="A626" s="78"/>
      <c r="B626" s="78"/>
      <c r="C626" s="78"/>
      <c r="D626" s="78"/>
      <c r="E626" s="78"/>
      <c r="F626" s="78"/>
      <c r="G626" s="78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  <c r="Z626" s="78"/>
    </row>
    <row r="627" spans="1:26" ht="12.75" customHeight="1" x14ac:dyDescent="0.2">
      <c r="A627" s="78"/>
      <c r="B627" s="78"/>
      <c r="C627" s="78"/>
      <c r="D627" s="78"/>
      <c r="E627" s="78"/>
      <c r="F627" s="78"/>
      <c r="G627" s="78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  <c r="Z627" s="78"/>
    </row>
    <row r="628" spans="1:26" ht="12.75" customHeight="1" x14ac:dyDescent="0.2">
      <c r="A628" s="78"/>
      <c r="B628" s="78"/>
      <c r="C628" s="78"/>
      <c r="D628" s="78"/>
      <c r="E628" s="78"/>
      <c r="F628" s="78"/>
      <c r="G628" s="78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  <c r="Z628" s="78"/>
    </row>
    <row r="629" spans="1:26" ht="12.75" customHeight="1" x14ac:dyDescent="0.2">
      <c r="A629" s="78"/>
      <c r="B629" s="78"/>
      <c r="C629" s="78"/>
      <c r="D629" s="78"/>
      <c r="E629" s="78"/>
      <c r="F629" s="78"/>
      <c r="G629" s="78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  <c r="Z629" s="78"/>
    </row>
    <row r="630" spans="1:26" ht="12.75" customHeight="1" x14ac:dyDescent="0.2">
      <c r="A630" s="78"/>
      <c r="B630" s="78"/>
      <c r="C630" s="78"/>
      <c r="D630" s="78"/>
      <c r="E630" s="78"/>
      <c r="F630" s="78"/>
      <c r="G630" s="78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  <c r="Z630" s="78"/>
    </row>
    <row r="631" spans="1:26" ht="12.75" customHeight="1" x14ac:dyDescent="0.2">
      <c r="A631" s="78"/>
      <c r="B631" s="78"/>
      <c r="C631" s="78"/>
      <c r="D631" s="78"/>
      <c r="E631" s="78"/>
      <c r="F631" s="78"/>
      <c r="G631" s="78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</row>
    <row r="632" spans="1:26" ht="12.75" customHeight="1" x14ac:dyDescent="0.2">
      <c r="A632" s="78"/>
      <c r="B632" s="78"/>
      <c r="C632" s="78"/>
      <c r="D632" s="78"/>
      <c r="E632" s="78"/>
      <c r="F632" s="78"/>
      <c r="G632" s="78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  <c r="Z632" s="78"/>
    </row>
    <row r="633" spans="1:26" ht="12.75" customHeight="1" x14ac:dyDescent="0.2">
      <c r="A633" s="78"/>
      <c r="B633" s="78"/>
      <c r="C633" s="78"/>
      <c r="D633" s="78"/>
      <c r="E633" s="78"/>
      <c r="F633" s="78"/>
      <c r="G633" s="78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  <c r="Z633" s="78"/>
    </row>
    <row r="634" spans="1:26" ht="12.75" customHeight="1" x14ac:dyDescent="0.2">
      <c r="A634" s="78"/>
      <c r="B634" s="78"/>
      <c r="C634" s="78"/>
      <c r="D634" s="78"/>
      <c r="E634" s="78"/>
      <c r="F634" s="78"/>
      <c r="G634" s="78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  <c r="Z634" s="78"/>
    </row>
    <row r="635" spans="1:26" ht="12.75" customHeight="1" x14ac:dyDescent="0.2">
      <c r="A635" s="78"/>
      <c r="B635" s="78"/>
      <c r="C635" s="78"/>
      <c r="D635" s="78"/>
      <c r="E635" s="78"/>
      <c r="F635" s="78"/>
      <c r="G635" s="78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  <c r="Z635" s="78"/>
    </row>
    <row r="636" spans="1:26" ht="12.75" customHeight="1" x14ac:dyDescent="0.2">
      <c r="A636" s="78"/>
      <c r="B636" s="78"/>
      <c r="C636" s="78"/>
      <c r="D636" s="78"/>
      <c r="E636" s="78"/>
      <c r="F636" s="78"/>
      <c r="G636" s="78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  <c r="Z636" s="78"/>
    </row>
    <row r="637" spans="1:26" ht="12.75" customHeight="1" x14ac:dyDescent="0.2">
      <c r="A637" s="78"/>
      <c r="B637" s="78"/>
      <c r="C637" s="78"/>
      <c r="D637" s="78"/>
      <c r="E637" s="78"/>
      <c r="F637" s="78"/>
      <c r="G637" s="78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  <c r="Z637" s="78"/>
    </row>
    <row r="638" spans="1:26" ht="12.75" customHeight="1" x14ac:dyDescent="0.2">
      <c r="A638" s="78"/>
      <c r="B638" s="78"/>
      <c r="C638" s="78"/>
      <c r="D638" s="78"/>
      <c r="E638" s="78"/>
      <c r="F638" s="78"/>
      <c r="G638" s="78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  <c r="Z638" s="78"/>
    </row>
    <row r="639" spans="1:26" ht="12.75" customHeight="1" x14ac:dyDescent="0.2">
      <c r="A639" s="78"/>
      <c r="B639" s="78"/>
      <c r="C639" s="78"/>
      <c r="D639" s="78"/>
      <c r="E639" s="78"/>
      <c r="F639" s="78"/>
      <c r="G639" s="78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  <c r="Z639" s="78"/>
    </row>
    <row r="640" spans="1:26" ht="12.75" customHeight="1" x14ac:dyDescent="0.2">
      <c r="A640" s="78"/>
      <c r="B640" s="78"/>
      <c r="C640" s="78"/>
      <c r="D640" s="78"/>
      <c r="E640" s="78"/>
      <c r="F640" s="78"/>
      <c r="G640" s="78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  <c r="Z640" s="78"/>
    </row>
    <row r="641" spans="1:26" ht="12.75" customHeight="1" x14ac:dyDescent="0.2">
      <c r="A641" s="78"/>
      <c r="B641" s="78"/>
      <c r="C641" s="78"/>
      <c r="D641" s="78"/>
      <c r="E641" s="78"/>
      <c r="F641" s="78"/>
      <c r="G641" s="78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  <c r="Z641" s="78"/>
    </row>
    <row r="642" spans="1:26" ht="12.75" customHeight="1" x14ac:dyDescent="0.2">
      <c r="A642" s="78"/>
      <c r="B642" s="78"/>
      <c r="C642" s="78"/>
      <c r="D642" s="78"/>
      <c r="E642" s="78"/>
      <c r="F642" s="78"/>
      <c r="G642" s="78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  <c r="Z642" s="78"/>
    </row>
    <row r="643" spans="1:26" ht="12.75" customHeight="1" x14ac:dyDescent="0.2">
      <c r="A643" s="78"/>
      <c r="B643" s="78"/>
      <c r="C643" s="78"/>
      <c r="D643" s="78"/>
      <c r="E643" s="78"/>
      <c r="F643" s="78"/>
      <c r="G643" s="78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</row>
    <row r="644" spans="1:26" ht="12.75" customHeight="1" x14ac:dyDescent="0.2">
      <c r="A644" s="78"/>
      <c r="B644" s="78"/>
      <c r="C644" s="78"/>
      <c r="D644" s="78"/>
      <c r="E644" s="78"/>
      <c r="F644" s="78"/>
      <c r="G644" s="78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  <c r="Z644" s="78"/>
    </row>
    <row r="645" spans="1:26" ht="12.75" customHeight="1" x14ac:dyDescent="0.2">
      <c r="A645" s="78"/>
      <c r="B645" s="78"/>
      <c r="C645" s="78"/>
      <c r="D645" s="78"/>
      <c r="E645" s="78"/>
      <c r="F645" s="78"/>
      <c r="G645" s="78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  <c r="Z645" s="78"/>
    </row>
    <row r="646" spans="1:26" ht="12.75" customHeight="1" x14ac:dyDescent="0.2">
      <c r="A646" s="78"/>
      <c r="B646" s="78"/>
      <c r="C646" s="78"/>
      <c r="D646" s="78"/>
      <c r="E646" s="78"/>
      <c r="F646" s="78"/>
      <c r="G646" s="78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  <c r="Z646" s="78"/>
    </row>
    <row r="647" spans="1:26" ht="12.75" customHeight="1" x14ac:dyDescent="0.2">
      <c r="A647" s="78"/>
      <c r="B647" s="78"/>
      <c r="C647" s="78"/>
      <c r="D647" s="78"/>
      <c r="E647" s="78"/>
      <c r="F647" s="78"/>
      <c r="G647" s="78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  <c r="Z647" s="78"/>
    </row>
    <row r="648" spans="1:26" ht="12.75" customHeight="1" x14ac:dyDescent="0.2">
      <c r="A648" s="78"/>
      <c r="B648" s="78"/>
      <c r="C648" s="78"/>
      <c r="D648" s="78"/>
      <c r="E648" s="78"/>
      <c r="F648" s="78"/>
      <c r="G648" s="78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  <c r="Z648" s="78"/>
    </row>
    <row r="649" spans="1:26" ht="12.75" customHeight="1" x14ac:dyDescent="0.2">
      <c r="A649" s="78"/>
      <c r="B649" s="78"/>
      <c r="C649" s="78"/>
      <c r="D649" s="78"/>
      <c r="E649" s="78"/>
      <c r="F649" s="78"/>
      <c r="G649" s="78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  <c r="Z649" s="78"/>
    </row>
    <row r="650" spans="1:26" ht="12.75" customHeight="1" x14ac:dyDescent="0.2">
      <c r="A650" s="78"/>
      <c r="B650" s="78"/>
      <c r="C650" s="78"/>
      <c r="D650" s="78"/>
      <c r="E650" s="78"/>
      <c r="F650" s="78"/>
      <c r="G650" s="78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  <c r="Z650" s="78"/>
    </row>
    <row r="651" spans="1:26" ht="12.75" customHeight="1" x14ac:dyDescent="0.2">
      <c r="A651" s="78"/>
      <c r="B651" s="78"/>
      <c r="C651" s="78"/>
      <c r="D651" s="78"/>
      <c r="E651" s="78"/>
      <c r="F651" s="78"/>
      <c r="G651" s="78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  <c r="Z651" s="78"/>
    </row>
    <row r="652" spans="1:26" ht="12.75" customHeight="1" x14ac:dyDescent="0.2">
      <c r="A652" s="78"/>
      <c r="B652" s="78"/>
      <c r="C652" s="78"/>
      <c r="D652" s="78"/>
      <c r="E652" s="78"/>
      <c r="F652" s="78"/>
      <c r="G652" s="78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  <c r="Y652" s="78"/>
      <c r="Z652" s="78"/>
    </row>
    <row r="653" spans="1:26" ht="12.75" customHeight="1" x14ac:dyDescent="0.2">
      <c r="A653" s="78"/>
      <c r="B653" s="78"/>
      <c r="C653" s="78"/>
      <c r="D653" s="78"/>
      <c r="E653" s="78"/>
      <c r="F653" s="78"/>
      <c r="G653" s="78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  <c r="Y653" s="78"/>
      <c r="Z653" s="78"/>
    </row>
    <row r="654" spans="1:26" ht="12.75" customHeight="1" x14ac:dyDescent="0.2">
      <c r="A654" s="78"/>
      <c r="B654" s="78"/>
      <c r="C654" s="78"/>
      <c r="D654" s="78"/>
      <c r="E654" s="78"/>
      <c r="F654" s="78"/>
      <c r="G654" s="78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  <c r="Y654" s="78"/>
      <c r="Z654" s="78"/>
    </row>
    <row r="655" spans="1:26" ht="12.75" customHeight="1" x14ac:dyDescent="0.2">
      <c r="A655" s="78"/>
      <c r="B655" s="78"/>
      <c r="C655" s="78"/>
      <c r="D655" s="78"/>
      <c r="E655" s="78"/>
      <c r="F655" s="78"/>
      <c r="G655" s="78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  <c r="Y655" s="78"/>
      <c r="Z655" s="78"/>
    </row>
    <row r="656" spans="1:26" ht="12.75" customHeight="1" x14ac:dyDescent="0.2">
      <c r="A656" s="78"/>
      <c r="B656" s="78"/>
      <c r="C656" s="78"/>
      <c r="D656" s="78"/>
      <c r="E656" s="78"/>
      <c r="F656" s="78"/>
      <c r="G656" s="78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  <c r="Y656" s="78"/>
      <c r="Z656" s="78"/>
    </row>
    <row r="657" spans="1:26" ht="12.75" customHeight="1" x14ac:dyDescent="0.2">
      <c r="A657" s="78"/>
      <c r="B657" s="78"/>
      <c r="C657" s="78"/>
      <c r="D657" s="78"/>
      <c r="E657" s="78"/>
      <c r="F657" s="78"/>
      <c r="G657" s="78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  <c r="Y657" s="78"/>
      <c r="Z657" s="78"/>
    </row>
    <row r="658" spans="1:26" ht="12.75" customHeight="1" x14ac:dyDescent="0.2">
      <c r="A658" s="78"/>
      <c r="B658" s="78"/>
      <c r="C658" s="78"/>
      <c r="D658" s="78"/>
      <c r="E658" s="78"/>
      <c r="F658" s="78"/>
      <c r="G658" s="78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8"/>
      <c r="Z658" s="78"/>
    </row>
    <row r="659" spans="1:26" ht="12.75" customHeight="1" x14ac:dyDescent="0.2">
      <c r="A659" s="78"/>
      <c r="B659" s="78"/>
      <c r="C659" s="78"/>
      <c r="D659" s="78"/>
      <c r="E659" s="78"/>
      <c r="F659" s="78"/>
      <c r="G659" s="78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8"/>
      <c r="Z659" s="78"/>
    </row>
    <row r="660" spans="1:26" ht="12.75" customHeight="1" x14ac:dyDescent="0.2">
      <c r="A660" s="78"/>
      <c r="B660" s="78"/>
      <c r="C660" s="78"/>
      <c r="D660" s="78"/>
      <c r="E660" s="78"/>
      <c r="F660" s="78"/>
      <c r="G660" s="78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  <c r="Y660" s="78"/>
      <c r="Z660" s="78"/>
    </row>
    <row r="661" spans="1:26" ht="12.75" customHeight="1" x14ac:dyDescent="0.2">
      <c r="A661" s="78"/>
      <c r="B661" s="78"/>
      <c r="C661" s="78"/>
      <c r="D661" s="78"/>
      <c r="E661" s="78"/>
      <c r="F661" s="78"/>
      <c r="G661" s="78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  <c r="Y661" s="78"/>
      <c r="Z661" s="78"/>
    </row>
    <row r="662" spans="1:26" ht="12.75" customHeight="1" x14ac:dyDescent="0.2">
      <c r="A662" s="78"/>
      <c r="B662" s="78"/>
      <c r="C662" s="78"/>
      <c r="D662" s="78"/>
      <c r="E662" s="78"/>
      <c r="F662" s="78"/>
      <c r="G662" s="78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8"/>
      <c r="Z662" s="78"/>
    </row>
    <row r="663" spans="1:26" ht="12.75" customHeight="1" x14ac:dyDescent="0.2">
      <c r="A663" s="78"/>
      <c r="B663" s="78"/>
      <c r="C663" s="78"/>
      <c r="D663" s="78"/>
      <c r="E663" s="78"/>
      <c r="F663" s="78"/>
      <c r="G663" s="78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  <c r="Y663" s="78"/>
      <c r="Z663" s="78"/>
    </row>
    <row r="664" spans="1:26" ht="12.75" customHeight="1" x14ac:dyDescent="0.2">
      <c r="A664" s="78"/>
      <c r="B664" s="78"/>
      <c r="C664" s="78"/>
      <c r="D664" s="78"/>
      <c r="E664" s="78"/>
      <c r="F664" s="78"/>
      <c r="G664" s="78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  <c r="Y664" s="78"/>
      <c r="Z664" s="78"/>
    </row>
    <row r="665" spans="1:26" ht="12.75" customHeight="1" x14ac:dyDescent="0.2">
      <c r="A665" s="78"/>
      <c r="B665" s="78"/>
      <c r="C665" s="78"/>
      <c r="D665" s="78"/>
      <c r="E665" s="78"/>
      <c r="F665" s="78"/>
      <c r="G665" s="78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  <c r="Y665" s="78"/>
      <c r="Z665" s="78"/>
    </row>
    <row r="666" spans="1:26" ht="12.75" customHeight="1" x14ac:dyDescent="0.2">
      <c r="A666" s="78"/>
      <c r="B666" s="78"/>
      <c r="C666" s="78"/>
      <c r="D666" s="78"/>
      <c r="E666" s="78"/>
      <c r="F666" s="78"/>
      <c r="G666" s="78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  <c r="Y666" s="78"/>
      <c r="Z666" s="78"/>
    </row>
    <row r="667" spans="1:26" ht="12.75" customHeight="1" x14ac:dyDescent="0.2">
      <c r="A667" s="78"/>
      <c r="B667" s="78"/>
      <c r="C667" s="78"/>
      <c r="D667" s="78"/>
      <c r="E667" s="78"/>
      <c r="F667" s="78"/>
      <c r="G667" s="78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  <c r="Y667" s="78"/>
      <c r="Z667" s="78"/>
    </row>
    <row r="668" spans="1:26" ht="12.75" customHeight="1" x14ac:dyDescent="0.2">
      <c r="A668" s="78"/>
      <c r="B668" s="78"/>
      <c r="C668" s="78"/>
      <c r="D668" s="78"/>
      <c r="E668" s="78"/>
      <c r="F668" s="78"/>
      <c r="G668" s="78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  <c r="Y668" s="78"/>
      <c r="Z668" s="78"/>
    </row>
    <row r="669" spans="1:26" ht="12.75" customHeight="1" x14ac:dyDescent="0.2">
      <c r="A669" s="78"/>
      <c r="B669" s="78"/>
      <c r="C669" s="78"/>
      <c r="D669" s="78"/>
      <c r="E669" s="78"/>
      <c r="F669" s="78"/>
      <c r="G669" s="78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  <c r="Z669" s="78"/>
    </row>
    <row r="670" spans="1:26" ht="12.75" customHeight="1" x14ac:dyDescent="0.2">
      <c r="A670" s="78"/>
      <c r="B670" s="78"/>
      <c r="C670" s="78"/>
      <c r="D670" s="78"/>
      <c r="E670" s="78"/>
      <c r="F670" s="78"/>
      <c r="G670" s="78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  <c r="Y670" s="78"/>
      <c r="Z670" s="78"/>
    </row>
    <row r="671" spans="1:26" ht="12.75" customHeight="1" x14ac:dyDescent="0.2">
      <c r="A671" s="78"/>
      <c r="B671" s="78"/>
      <c r="C671" s="78"/>
      <c r="D671" s="78"/>
      <c r="E671" s="78"/>
      <c r="F671" s="78"/>
      <c r="G671" s="78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  <c r="Y671" s="78"/>
      <c r="Z671" s="78"/>
    </row>
    <row r="672" spans="1:26" ht="12.75" customHeight="1" x14ac:dyDescent="0.2">
      <c r="A672" s="78"/>
      <c r="B672" s="78"/>
      <c r="C672" s="78"/>
      <c r="D672" s="78"/>
      <c r="E672" s="78"/>
      <c r="F672" s="78"/>
      <c r="G672" s="78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8"/>
      <c r="Z672" s="78"/>
    </row>
    <row r="673" spans="1:26" ht="12.75" customHeight="1" x14ac:dyDescent="0.2">
      <c r="A673" s="78"/>
      <c r="B673" s="78"/>
      <c r="C673" s="78"/>
      <c r="D673" s="78"/>
      <c r="E673" s="78"/>
      <c r="F673" s="78"/>
      <c r="G673" s="78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  <c r="Y673" s="78"/>
      <c r="Z673" s="78"/>
    </row>
    <row r="674" spans="1:26" ht="12.75" customHeight="1" x14ac:dyDescent="0.2">
      <c r="A674" s="78"/>
      <c r="B674" s="78"/>
      <c r="C674" s="78"/>
      <c r="D674" s="78"/>
      <c r="E674" s="78"/>
      <c r="F674" s="78"/>
      <c r="G674" s="78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  <c r="Y674" s="78"/>
      <c r="Z674" s="78"/>
    </row>
    <row r="675" spans="1:26" ht="12.75" customHeight="1" x14ac:dyDescent="0.2">
      <c r="A675" s="78"/>
      <c r="B675" s="78"/>
      <c r="C675" s="78"/>
      <c r="D675" s="78"/>
      <c r="E675" s="78"/>
      <c r="F675" s="78"/>
      <c r="G675" s="78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  <c r="Y675" s="78"/>
      <c r="Z675" s="78"/>
    </row>
    <row r="676" spans="1:26" ht="12.75" customHeight="1" x14ac:dyDescent="0.2">
      <c r="A676" s="78"/>
      <c r="B676" s="78"/>
      <c r="C676" s="78"/>
      <c r="D676" s="78"/>
      <c r="E676" s="78"/>
      <c r="F676" s="78"/>
      <c r="G676" s="78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  <c r="Y676" s="78"/>
      <c r="Z676" s="78"/>
    </row>
    <row r="677" spans="1:26" ht="12.75" customHeight="1" x14ac:dyDescent="0.2">
      <c r="A677" s="78"/>
      <c r="B677" s="78"/>
      <c r="C677" s="78"/>
      <c r="D677" s="78"/>
      <c r="E677" s="78"/>
      <c r="F677" s="78"/>
      <c r="G677" s="78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  <c r="Y677" s="78"/>
      <c r="Z677" s="78"/>
    </row>
    <row r="678" spans="1:26" ht="12.75" customHeight="1" x14ac:dyDescent="0.2">
      <c r="A678" s="78"/>
      <c r="B678" s="78"/>
      <c r="C678" s="78"/>
      <c r="D678" s="78"/>
      <c r="E678" s="78"/>
      <c r="F678" s="78"/>
      <c r="G678" s="78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  <c r="Y678" s="78"/>
      <c r="Z678" s="78"/>
    </row>
    <row r="679" spans="1:26" ht="12.75" customHeight="1" x14ac:dyDescent="0.2">
      <c r="A679" s="78"/>
      <c r="B679" s="78"/>
      <c r="C679" s="78"/>
      <c r="D679" s="78"/>
      <c r="E679" s="78"/>
      <c r="F679" s="78"/>
      <c r="G679" s="78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  <c r="Y679" s="78"/>
      <c r="Z679" s="78"/>
    </row>
    <row r="680" spans="1:26" ht="12.75" customHeight="1" x14ac:dyDescent="0.2">
      <c r="A680" s="78"/>
      <c r="B680" s="78"/>
      <c r="C680" s="78"/>
      <c r="D680" s="78"/>
      <c r="E680" s="78"/>
      <c r="F680" s="78"/>
      <c r="G680" s="78"/>
      <c r="H680" s="78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  <c r="Y680" s="78"/>
      <c r="Z680" s="78"/>
    </row>
    <row r="681" spans="1:26" ht="12.75" customHeight="1" x14ac:dyDescent="0.2">
      <c r="A681" s="78"/>
      <c r="B681" s="78"/>
      <c r="C681" s="78"/>
      <c r="D681" s="78"/>
      <c r="E681" s="78"/>
      <c r="F681" s="78"/>
      <c r="G681" s="78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8"/>
      <c r="Z681" s="78"/>
    </row>
    <row r="682" spans="1:26" ht="12.75" customHeight="1" x14ac:dyDescent="0.2">
      <c r="A682" s="78"/>
      <c r="B682" s="78"/>
      <c r="C682" s="78"/>
      <c r="D682" s="78"/>
      <c r="E682" s="78"/>
      <c r="F682" s="78"/>
      <c r="G682" s="78"/>
      <c r="H682" s="78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8"/>
      <c r="Z682" s="78"/>
    </row>
    <row r="683" spans="1:26" ht="12.75" customHeight="1" x14ac:dyDescent="0.2">
      <c r="A683" s="78"/>
      <c r="B683" s="78"/>
      <c r="C683" s="78"/>
      <c r="D683" s="78"/>
      <c r="E683" s="78"/>
      <c r="F683" s="78"/>
      <c r="G683" s="78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</row>
    <row r="684" spans="1:26" ht="12.75" customHeight="1" x14ac:dyDescent="0.2">
      <c r="A684" s="78"/>
      <c r="B684" s="78"/>
      <c r="C684" s="78"/>
      <c r="D684" s="78"/>
      <c r="E684" s="78"/>
      <c r="F684" s="78"/>
      <c r="G684" s="78"/>
      <c r="H684" s="78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  <c r="X684" s="78"/>
      <c r="Y684" s="78"/>
      <c r="Z684" s="78"/>
    </row>
    <row r="685" spans="1:26" ht="12.75" customHeight="1" x14ac:dyDescent="0.2">
      <c r="A685" s="78"/>
      <c r="B685" s="78"/>
      <c r="C685" s="78"/>
      <c r="D685" s="78"/>
      <c r="E685" s="78"/>
      <c r="F685" s="78"/>
      <c r="G685" s="78"/>
      <c r="H685" s="78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  <c r="Y685" s="78"/>
      <c r="Z685" s="78"/>
    </row>
    <row r="686" spans="1:26" ht="12.75" customHeight="1" x14ac:dyDescent="0.2">
      <c r="A686" s="78"/>
      <c r="B686" s="78"/>
      <c r="C686" s="78"/>
      <c r="D686" s="78"/>
      <c r="E686" s="78"/>
      <c r="F686" s="78"/>
      <c r="G686" s="78"/>
      <c r="H686" s="78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  <c r="X686" s="78"/>
      <c r="Y686" s="78"/>
      <c r="Z686" s="78"/>
    </row>
    <row r="687" spans="1:26" ht="12.75" customHeight="1" x14ac:dyDescent="0.2">
      <c r="A687" s="78"/>
      <c r="B687" s="78"/>
      <c r="C687" s="78"/>
      <c r="D687" s="78"/>
      <c r="E687" s="78"/>
      <c r="F687" s="78"/>
      <c r="G687" s="78"/>
      <c r="H687" s="78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  <c r="X687" s="78"/>
      <c r="Y687" s="78"/>
      <c r="Z687" s="78"/>
    </row>
    <row r="688" spans="1:26" ht="12.75" customHeight="1" x14ac:dyDescent="0.2">
      <c r="A688" s="78"/>
      <c r="B688" s="78"/>
      <c r="C688" s="78"/>
      <c r="D688" s="78"/>
      <c r="E688" s="78"/>
      <c r="F688" s="78"/>
      <c r="G688" s="78"/>
      <c r="H688" s="78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  <c r="Y688" s="78"/>
      <c r="Z688" s="78"/>
    </row>
    <row r="689" spans="1:26" ht="12.75" customHeight="1" x14ac:dyDescent="0.2">
      <c r="A689" s="78"/>
      <c r="B689" s="78"/>
      <c r="C689" s="78"/>
      <c r="D689" s="78"/>
      <c r="E689" s="78"/>
      <c r="F689" s="78"/>
      <c r="G689" s="78"/>
      <c r="H689" s="78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  <c r="Y689" s="78"/>
      <c r="Z689" s="78"/>
    </row>
    <row r="690" spans="1:26" ht="12.75" customHeight="1" x14ac:dyDescent="0.2">
      <c r="A690" s="78"/>
      <c r="B690" s="78"/>
      <c r="C690" s="78"/>
      <c r="D690" s="78"/>
      <c r="E690" s="78"/>
      <c r="F690" s="78"/>
      <c r="G690" s="78"/>
      <c r="H690" s="78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  <c r="Y690" s="78"/>
      <c r="Z690" s="78"/>
    </row>
    <row r="691" spans="1:26" ht="12.75" customHeight="1" x14ac:dyDescent="0.2">
      <c r="A691" s="78"/>
      <c r="B691" s="78"/>
      <c r="C691" s="78"/>
      <c r="D691" s="78"/>
      <c r="E691" s="78"/>
      <c r="F691" s="78"/>
      <c r="G691" s="78"/>
      <c r="H691" s="78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  <c r="Y691" s="78"/>
      <c r="Z691" s="78"/>
    </row>
    <row r="692" spans="1:26" ht="12.75" customHeight="1" x14ac:dyDescent="0.2">
      <c r="A692" s="78"/>
      <c r="B692" s="78"/>
      <c r="C692" s="78"/>
      <c r="D692" s="78"/>
      <c r="E692" s="78"/>
      <c r="F692" s="78"/>
      <c r="G692" s="78"/>
      <c r="H692" s="78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  <c r="Y692" s="78"/>
      <c r="Z692" s="78"/>
    </row>
    <row r="693" spans="1:26" ht="12.75" customHeight="1" x14ac:dyDescent="0.2">
      <c r="A693" s="78"/>
      <c r="B693" s="78"/>
      <c r="C693" s="78"/>
      <c r="D693" s="78"/>
      <c r="E693" s="78"/>
      <c r="F693" s="78"/>
      <c r="G693" s="78"/>
      <c r="H693" s="78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  <c r="Y693" s="78"/>
      <c r="Z693" s="78"/>
    </row>
    <row r="694" spans="1:26" ht="12.75" customHeight="1" x14ac:dyDescent="0.2">
      <c r="A694" s="78"/>
      <c r="B694" s="78"/>
      <c r="C694" s="78"/>
      <c r="D694" s="78"/>
      <c r="E694" s="78"/>
      <c r="F694" s="78"/>
      <c r="G694" s="78"/>
      <c r="H694" s="78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  <c r="Y694" s="78"/>
      <c r="Z694" s="78"/>
    </row>
    <row r="695" spans="1:26" ht="12.75" customHeight="1" x14ac:dyDescent="0.2">
      <c r="A695" s="78"/>
      <c r="B695" s="78"/>
      <c r="C695" s="78"/>
      <c r="D695" s="78"/>
      <c r="E695" s="78"/>
      <c r="F695" s="78"/>
      <c r="G695" s="78"/>
      <c r="H695" s="78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  <c r="Y695" s="78"/>
      <c r="Z695" s="78"/>
    </row>
    <row r="696" spans="1:26" ht="12.75" customHeight="1" x14ac:dyDescent="0.2">
      <c r="A696" s="78"/>
      <c r="B696" s="78"/>
      <c r="C696" s="78"/>
      <c r="D696" s="78"/>
      <c r="E696" s="78"/>
      <c r="F696" s="78"/>
      <c r="G696" s="78"/>
      <c r="H696" s="78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  <c r="Y696" s="78"/>
      <c r="Z696" s="78"/>
    </row>
    <row r="697" spans="1:26" ht="12.75" customHeight="1" x14ac:dyDescent="0.2">
      <c r="A697" s="78"/>
      <c r="B697" s="78"/>
      <c r="C697" s="78"/>
      <c r="D697" s="78"/>
      <c r="E697" s="78"/>
      <c r="F697" s="78"/>
      <c r="G697" s="78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8"/>
      <c r="Z697" s="78"/>
    </row>
    <row r="698" spans="1:26" ht="12.75" customHeight="1" x14ac:dyDescent="0.2">
      <c r="A698" s="78"/>
      <c r="B698" s="78"/>
      <c r="C698" s="78"/>
      <c r="D698" s="78"/>
      <c r="E698" s="78"/>
      <c r="F698" s="78"/>
      <c r="G698" s="78"/>
      <c r="H698" s="78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  <c r="Y698" s="78"/>
      <c r="Z698" s="78"/>
    </row>
    <row r="699" spans="1:26" ht="12.75" customHeight="1" x14ac:dyDescent="0.2">
      <c r="A699" s="78"/>
      <c r="B699" s="78"/>
      <c r="C699" s="78"/>
      <c r="D699" s="78"/>
      <c r="E699" s="78"/>
      <c r="F699" s="78"/>
      <c r="G699" s="78"/>
      <c r="H699" s="78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  <c r="Y699" s="78"/>
      <c r="Z699" s="78"/>
    </row>
    <row r="700" spans="1:26" ht="12.75" customHeight="1" x14ac:dyDescent="0.2">
      <c r="A700" s="78"/>
      <c r="B700" s="78"/>
      <c r="C700" s="78"/>
      <c r="D700" s="78"/>
      <c r="E700" s="78"/>
      <c r="F700" s="78"/>
      <c r="G700" s="78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8"/>
      <c r="Z700" s="78"/>
    </row>
    <row r="701" spans="1:26" ht="12.75" customHeight="1" x14ac:dyDescent="0.2">
      <c r="A701" s="78"/>
      <c r="B701" s="78"/>
      <c r="C701" s="78"/>
      <c r="D701" s="78"/>
      <c r="E701" s="78"/>
      <c r="F701" s="78"/>
      <c r="G701" s="78"/>
      <c r="H701" s="78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  <c r="Y701" s="78"/>
      <c r="Z701" s="78"/>
    </row>
    <row r="702" spans="1:26" ht="12.75" customHeight="1" x14ac:dyDescent="0.2">
      <c r="A702" s="78"/>
      <c r="B702" s="78"/>
      <c r="C702" s="78"/>
      <c r="D702" s="78"/>
      <c r="E702" s="78"/>
      <c r="F702" s="78"/>
      <c r="G702" s="78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</row>
    <row r="703" spans="1:26" ht="12.75" customHeight="1" x14ac:dyDescent="0.2">
      <c r="A703" s="78"/>
      <c r="B703" s="78"/>
      <c r="C703" s="78"/>
      <c r="D703" s="78"/>
      <c r="E703" s="78"/>
      <c r="F703" s="78"/>
      <c r="G703" s="78"/>
      <c r="H703" s="78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  <c r="Y703" s="78"/>
      <c r="Z703" s="78"/>
    </row>
    <row r="704" spans="1:26" ht="12.75" customHeight="1" x14ac:dyDescent="0.2">
      <c r="A704" s="78"/>
      <c r="B704" s="78"/>
      <c r="C704" s="78"/>
      <c r="D704" s="78"/>
      <c r="E704" s="78"/>
      <c r="F704" s="78"/>
      <c r="G704" s="78"/>
      <c r="H704" s="78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  <c r="Y704" s="78"/>
      <c r="Z704" s="78"/>
    </row>
    <row r="705" spans="1:26" ht="12.75" customHeight="1" x14ac:dyDescent="0.2">
      <c r="A705" s="78"/>
      <c r="B705" s="78"/>
      <c r="C705" s="78"/>
      <c r="D705" s="78"/>
      <c r="E705" s="78"/>
      <c r="F705" s="78"/>
      <c r="G705" s="78"/>
      <c r="H705" s="78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  <c r="Y705" s="78"/>
      <c r="Z705" s="78"/>
    </row>
    <row r="706" spans="1:26" ht="12.75" customHeight="1" x14ac:dyDescent="0.2">
      <c r="A706" s="78"/>
      <c r="B706" s="78"/>
      <c r="C706" s="78"/>
      <c r="D706" s="78"/>
      <c r="E706" s="78"/>
      <c r="F706" s="78"/>
      <c r="G706" s="78"/>
      <c r="H706" s="78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8"/>
      <c r="Z706" s="78"/>
    </row>
    <row r="707" spans="1:26" ht="12.75" customHeight="1" x14ac:dyDescent="0.2">
      <c r="A707" s="78"/>
      <c r="B707" s="78"/>
      <c r="C707" s="78"/>
      <c r="D707" s="78"/>
      <c r="E707" s="78"/>
      <c r="F707" s="78"/>
      <c r="G707" s="78"/>
      <c r="H707" s="78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  <c r="Y707" s="78"/>
      <c r="Z707" s="78"/>
    </row>
    <row r="708" spans="1:26" ht="12.75" customHeight="1" x14ac:dyDescent="0.2">
      <c r="A708" s="78"/>
      <c r="B708" s="78"/>
      <c r="C708" s="78"/>
      <c r="D708" s="78"/>
      <c r="E708" s="78"/>
      <c r="F708" s="78"/>
      <c r="G708" s="78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  <c r="Y708" s="78"/>
      <c r="Z708" s="78"/>
    </row>
    <row r="709" spans="1:26" ht="12.75" customHeight="1" x14ac:dyDescent="0.2">
      <c r="A709" s="78"/>
      <c r="B709" s="78"/>
      <c r="C709" s="78"/>
      <c r="D709" s="78"/>
      <c r="E709" s="78"/>
      <c r="F709" s="78"/>
      <c r="G709" s="78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  <c r="Y709" s="78"/>
      <c r="Z709" s="78"/>
    </row>
    <row r="710" spans="1:26" ht="12.75" customHeight="1" x14ac:dyDescent="0.2">
      <c r="A710" s="78"/>
      <c r="B710" s="78"/>
      <c r="C710" s="78"/>
      <c r="D710" s="78"/>
      <c r="E710" s="78"/>
      <c r="F710" s="78"/>
      <c r="G710" s="78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  <c r="Y710" s="78"/>
      <c r="Z710" s="78"/>
    </row>
    <row r="711" spans="1:26" ht="12.75" customHeight="1" x14ac:dyDescent="0.2">
      <c r="A711" s="78"/>
      <c r="B711" s="78"/>
      <c r="C711" s="78"/>
      <c r="D711" s="78"/>
      <c r="E711" s="78"/>
      <c r="F711" s="78"/>
      <c r="G711" s="78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8"/>
      <c r="Z711" s="78"/>
    </row>
    <row r="712" spans="1:26" ht="12.75" customHeight="1" x14ac:dyDescent="0.2">
      <c r="A712" s="78"/>
      <c r="B712" s="78"/>
      <c r="C712" s="78"/>
      <c r="D712" s="78"/>
      <c r="E712" s="78"/>
      <c r="F712" s="78"/>
      <c r="G712" s="78"/>
      <c r="H712" s="78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8"/>
      <c r="Z712" s="78"/>
    </row>
    <row r="713" spans="1:26" ht="12.75" customHeight="1" x14ac:dyDescent="0.2">
      <c r="A713" s="78"/>
      <c r="B713" s="78"/>
      <c r="C713" s="78"/>
      <c r="D713" s="78"/>
      <c r="E713" s="78"/>
      <c r="F713" s="78"/>
      <c r="G713" s="78"/>
      <c r="H713" s="78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  <c r="Y713" s="78"/>
      <c r="Z713" s="78"/>
    </row>
    <row r="714" spans="1:26" ht="12.75" customHeight="1" x14ac:dyDescent="0.2">
      <c r="A714" s="78"/>
      <c r="B714" s="78"/>
      <c r="C714" s="78"/>
      <c r="D714" s="78"/>
      <c r="E714" s="78"/>
      <c r="F714" s="78"/>
      <c r="G714" s="78"/>
      <c r="H714" s="78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  <c r="Y714" s="78"/>
      <c r="Z714" s="78"/>
    </row>
    <row r="715" spans="1:26" ht="12.75" customHeight="1" x14ac:dyDescent="0.2">
      <c r="A715" s="78"/>
      <c r="B715" s="78"/>
      <c r="C715" s="78"/>
      <c r="D715" s="78"/>
      <c r="E715" s="78"/>
      <c r="F715" s="78"/>
      <c r="G715" s="78"/>
      <c r="H715" s="78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  <c r="Y715" s="78"/>
      <c r="Z715" s="78"/>
    </row>
    <row r="716" spans="1:26" ht="12.75" customHeight="1" x14ac:dyDescent="0.2">
      <c r="A716" s="78"/>
      <c r="B716" s="78"/>
      <c r="C716" s="78"/>
      <c r="D716" s="78"/>
      <c r="E716" s="78"/>
      <c r="F716" s="78"/>
      <c r="G716" s="78"/>
      <c r="H716" s="78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  <c r="Y716" s="78"/>
      <c r="Z716" s="78"/>
    </row>
    <row r="717" spans="1:26" ht="12.75" customHeight="1" x14ac:dyDescent="0.2">
      <c r="A717" s="78"/>
      <c r="B717" s="78"/>
      <c r="C717" s="78"/>
      <c r="D717" s="78"/>
      <c r="E717" s="78"/>
      <c r="F717" s="78"/>
      <c r="G717" s="78"/>
      <c r="H717" s="78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  <c r="Y717" s="78"/>
      <c r="Z717" s="78"/>
    </row>
    <row r="718" spans="1:26" ht="12.75" customHeight="1" x14ac:dyDescent="0.2">
      <c r="A718" s="78"/>
      <c r="B718" s="78"/>
      <c r="C718" s="78"/>
      <c r="D718" s="78"/>
      <c r="E718" s="78"/>
      <c r="F718" s="78"/>
      <c r="G718" s="78"/>
      <c r="H718" s="78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  <c r="Y718" s="78"/>
      <c r="Z718" s="78"/>
    </row>
    <row r="719" spans="1:26" ht="12.75" customHeight="1" x14ac:dyDescent="0.2">
      <c r="A719" s="78"/>
      <c r="B719" s="78"/>
      <c r="C719" s="78"/>
      <c r="D719" s="78"/>
      <c r="E719" s="78"/>
      <c r="F719" s="78"/>
      <c r="G719" s="78"/>
      <c r="H719" s="78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  <c r="Y719" s="78"/>
      <c r="Z719" s="78"/>
    </row>
    <row r="720" spans="1:26" ht="12.75" customHeight="1" x14ac:dyDescent="0.2">
      <c r="A720" s="78"/>
      <c r="B720" s="78"/>
      <c r="C720" s="78"/>
      <c r="D720" s="78"/>
      <c r="E720" s="78"/>
      <c r="F720" s="78"/>
      <c r="G720" s="78"/>
      <c r="H720" s="78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  <c r="Y720" s="78"/>
      <c r="Z720" s="78"/>
    </row>
    <row r="721" spans="1:26" ht="12.75" customHeight="1" x14ac:dyDescent="0.2">
      <c r="A721" s="78"/>
      <c r="B721" s="78"/>
      <c r="C721" s="78"/>
      <c r="D721" s="78"/>
      <c r="E721" s="78"/>
      <c r="F721" s="78"/>
      <c r="G721" s="78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8"/>
      <c r="Z721" s="78"/>
    </row>
    <row r="722" spans="1:26" ht="12.75" customHeight="1" x14ac:dyDescent="0.2">
      <c r="A722" s="78"/>
      <c r="B722" s="78"/>
      <c r="C722" s="78"/>
      <c r="D722" s="78"/>
      <c r="E722" s="78"/>
      <c r="F722" s="78"/>
      <c r="G722" s="78"/>
      <c r="H722" s="78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8"/>
      <c r="Z722" s="78"/>
    </row>
    <row r="723" spans="1:26" ht="12.75" customHeight="1" x14ac:dyDescent="0.2">
      <c r="A723" s="78"/>
      <c r="B723" s="78"/>
      <c r="C723" s="78"/>
      <c r="D723" s="78"/>
      <c r="E723" s="78"/>
      <c r="F723" s="78"/>
      <c r="G723" s="78"/>
      <c r="H723" s="78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  <c r="Z723" s="78"/>
    </row>
    <row r="724" spans="1:26" ht="12.75" customHeight="1" x14ac:dyDescent="0.2">
      <c r="A724" s="78"/>
      <c r="B724" s="78"/>
      <c r="C724" s="78"/>
      <c r="D724" s="78"/>
      <c r="E724" s="78"/>
      <c r="F724" s="78"/>
      <c r="G724" s="78"/>
      <c r="H724" s="78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8"/>
      <c r="Z724" s="78"/>
    </row>
    <row r="725" spans="1:26" ht="12.75" customHeight="1" x14ac:dyDescent="0.2">
      <c r="A725" s="78"/>
      <c r="B725" s="78"/>
      <c r="C725" s="78"/>
      <c r="D725" s="78"/>
      <c r="E725" s="78"/>
      <c r="F725" s="78"/>
      <c r="G725" s="78"/>
      <c r="H725" s="78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  <c r="Y725" s="78"/>
      <c r="Z725" s="78"/>
    </row>
    <row r="726" spans="1:26" ht="12.75" customHeight="1" x14ac:dyDescent="0.2">
      <c r="A726" s="78"/>
      <c r="B726" s="78"/>
      <c r="C726" s="78"/>
      <c r="D726" s="78"/>
      <c r="E726" s="78"/>
      <c r="F726" s="78"/>
      <c r="G726" s="78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  <c r="Y726" s="78"/>
      <c r="Z726" s="78"/>
    </row>
    <row r="727" spans="1:26" ht="12.75" customHeight="1" x14ac:dyDescent="0.2">
      <c r="A727" s="78"/>
      <c r="B727" s="78"/>
      <c r="C727" s="78"/>
      <c r="D727" s="78"/>
      <c r="E727" s="78"/>
      <c r="F727" s="78"/>
      <c r="G727" s="78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  <c r="Y727" s="78"/>
      <c r="Z727" s="78"/>
    </row>
    <row r="728" spans="1:26" ht="12.75" customHeight="1" x14ac:dyDescent="0.2">
      <c r="A728" s="78"/>
      <c r="B728" s="78"/>
      <c r="C728" s="78"/>
      <c r="D728" s="78"/>
      <c r="E728" s="78"/>
      <c r="F728" s="78"/>
      <c r="G728" s="78"/>
      <c r="H728" s="78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  <c r="Y728" s="78"/>
      <c r="Z728" s="78"/>
    </row>
    <row r="729" spans="1:26" ht="12.75" customHeight="1" x14ac:dyDescent="0.2">
      <c r="A729" s="78"/>
      <c r="B729" s="78"/>
      <c r="C729" s="78"/>
      <c r="D729" s="78"/>
      <c r="E729" s="78"/>
      <c r="F729" s="78"/>
      <c r="G729" s="78"/>
      <c r="H729" s="78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  <c r="Y729" s="78"/>
      <c r="Z729" s="78"/>
    </row>
    <row r="730" spans="1:26" ht="12.75" customHeight="1" x14ac:dyDescent="0.2">
      <c r="A730" s="78"/>
      <c r="B730" s="78"/>
      <c r="C730" s="78"/>
      <c r="D730" s="78"/>
      <c r="E730" s="78"/>
      <c r="F730" s="78"/>
      <c r="G730" s="78"/>
      <c r="H730" s="78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  <c r="Y730" s="78"/>
      <c r="Z730" s="78"/>
    </row>
    <row r="731" spans="1:26" ht="12.75" customHeight="1" x14ac:dyDescent="0.2">
      <c r="A731" s="78"/>
      <c r="B731" s="78"/>
      <c r="C731" s="78"/>
      <c r="D731" s="78"/>
      <c r="E731" s="78"/>
      <c r="F731" s="78"/>
      <c r="G731" s="78"/>
      <c r="H731" s="78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  <c r="Y731" s="78"/>
      <c r="Z731" s="78"/>
    </row>
    <row r="732" spans="1:26" ht="12.75" customHeight="1" x14ac:dyDescent="0.2">
      <c r="A732" s="78"/>
      <c r="B732" s="78"/>
      <c r="C732" s="78"/>
      <c r="D732" s="78"/>
      <c r="E732" s="78"/>
      <c r="F732" s="78"/>
      <c r="G732" s="78"/>
      <c r="H732" s="78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8"/>
      <c r="Z732" s="78"/>
    </row>
    <row r="733" spans="1:26" ht="12.75" customHeight="1" x14ac:dyDescent="0.2">
      <c r="A733" s="78"/>
      <c r="B733" s="78"/>
      <c r="C733" s="78"/>
      <c r="D733" s="78"/>
      <c r="E733" s="78"/>
      <c r="F733" s="78"/>
      <c r="G733" s="78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  <c r="Z733" s="78"/>
    </row>
    <row r="734" spans="1:26" ht="12.75" customHeight="1" x14ac:dyDescent="0.2">
      <c r="A734" s="78"/>
      <c r="B734" s="78"/>
      <c r="C734" s="78"/>
      <c r="D734" s="78"/>
      <c r="E734" s="78"/>
      <c r="F734" s="78"/>
      <c r="G734" s="78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  <c r="Y734" s="78"/>
      <c r="Z734" s="78"/>
    </row>
    <row r="735" spans="1:26" ht="12.75" customHeight="1" x14ac:dyDescent="0.2">
      <c r="A735" s="78"/>
      <c r="B735" s="78"/>
      <c r="C735" s="78"/>
      <c r="D735" s="78"/>
      <c r="E735" s="78"/>
      <c r="F735" s="78"/>
      <c r="G735" s="78"/>
      <c r="H735" s="78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  <c r="Y735" s="78"/>
      <c r="Z735" s="78"/>
    </row>
    <row r="736" spans="1:26" ht="12.75" customHeight="1" x14ac:dyDescent="0.2">
      <c r="A736" s="78"/>
      <c r="B736" s="78"/>
      <c r="C736" s="78"/>
      <c r="D736" s="78"/>
      <c r="E736" s="78"/>
      <c r="F736" s="78"/>
      <c r="G736" s="78"/>
      <c r="H736" s="78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  <c r="Y736" s="78"/>
      <c r="Z736" s="78"/>
    </row>
    <row r="737" spans="1:26" ht="12.75" customHeight="1" x14ac:dyDescent="0.2">
      <c r="A737" s="78"/>
      <c r="B737" s="78"/>
      <c r="C737" s="78"/>
      <c r="D737" s="78"/>
      <c r="E737" s="78"/>
      <c r="F737" s="78"/>
      <c r="G737" s="78"/>
      <c r="H737" s="78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  <c r="Y737" s="78"/>
      <c r="Z737" s="78"/>
    </row>
    <row r="738" spans="1:26" ht="12.75" customHeight="1" x14ac:dyDescent="0.2">
      <c r="A738" s="78"/>
      <c r="B738" s="78"/>
      <c r="C738" s="78"/>
      <c r="D738" s="78"/>
      <c r="E738" s="78"/>
      <c r="F738" s="78"/>
      <c r="G738" s="78"/>
      <c r="H738" s="78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  <c r="Y738" s="78"/>
      <c r="Z738" s="78"/>
    </row>
    <row r="739" spans="1:26" ht="12.75" customHeight="1" x14ac:dyDescent="0.2">
      <c r="A739" s="78"/>
      <c r="B739" s="78"/>
      <c r="C739" s="78"/>
      <c r="D739" s="78"/>
      <c r="E739" s="78"/>
      <c r="F739" s="78"/>
      <c r="G739" s="78"/>
      <c r="H739" s="78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  <c r="Y739" s="78"/>
      <c r="Z739" s="78"/>
    </row>
    <row r="740" spans="1:26" ht="12.75" customHeight="1" x14ac:dyDescent="0.2">
      <c r="A740" s="78"/>
      <c r="B740" s="78"/>
      <c r="C740" s="78"/>
      <c r="D740" s="78"/>
      <c r="E740" s="78"/>
      <c r="F740" s="78"/>
      <c r="G740" s="78"/>
      <c r="H740" s="78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  <c r="Y740" s="78"/>
      <c r="Z740" s="78"/>
    </row>
    <row r="741" spans="1:26" ht="12.75" customHeight="1" x14ac:dyDescent="0.2">
      <c r="A741" s="78"/>
      <c r="B741" s="78"/>
      <c r="C741" s="78"/>
      <c r="D741" s="78"/>
      <c r="E741" s="78"/>
      <c r="F741" s="78"/>
      <c r="G741" s="78"/>
      <c r="H741" s="78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  <c r="Y741" s="78"/>
      <c r="Z741" s="78"/>
    </row>
    <row r="742" spans="1:26" ht="12.75" customHeight="1" x14ac:dyDescent="0.2">
      <c r="A742" s="78"/>
      <c r="B742" s="78"/>
      <c r="C742" s="78"/>
      <c r="D742" s="78"/>
      <c r="E742" s="78"/>
      <c r="F742" s="78"/>
      <c r="G742" s="78"/>
      <c r="H742" s="78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8"/>
      <c r="Z742" s="78"/>
    </row>
    <row r="743" spans="1:26" ht="12.75" customHeight="1" x14ac:dyDescent="0.2">
      <c r="A743" s="78"/>
      <c r="B743" s="78"/>
      <c r="C743" s="78"/>
      <c r="D743" s="78"/>
      <c r="E743" s="78"/>
      <c r="F743" s="78"/>
      <c r="G743" s="78"/>
      <c r="H743" s="78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  <c r="Y743" s="78"/>
      <c r="Z743" s="78"/>
    </row>
    <row r="744" spans="1:26" ht="12.75" customHeight="1" x14ac:dyDescent="0.2">
      <c r="A744" s="78"/>
      <c r="B744" s="78"/>
      <c r="C744" s="78"/>
      <c r="D744" s="78"/>
      <c r="E744" s="78"/>
      <c r="F744" s="78"/>
      <c r="G744" s="78"/>
      <c r="H744" s="78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  <c r="Y744" s="78"/>
      <c r="Z744" s="78"/>
    </row>
    <row r="745" spans="1:26" ht="12.75" customHeight="1" x14ac:dyDescent="0.2">
      <c r="A745" s="78"/>
      <c r="B745" s="78"/>
      <c r="C745" s="78"/>
      <c r="D745" s="78"/>
      <c r="E745" s="78"/>
      <c r="F745" s="78"/>
      <c r="G745" s="78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  <c r="Y745" s="78"/>
      <c r="Z745" s="78"/>
    </row>
    <row r="746" spans="1:26" ht="12.75" customHeight="1" x14ac:dyDescent="0.2">
      <c r="A746" s="78"/>
      <c r="B746" s="78"/>
      <c r="C746" s="78"/>
      <c r="D746" s="78"/>
      <c r="E746" s="78"/>
      <c r="F746" s="78"/>
      <c r="G746" s="78"/>
      <c r="H746" s="78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  <c r="Y746" s="78"/>
      <c r="Z746" s="78"/>
    </row>
    <row r="747" spans="1:26" ht="12.75" customHeight="1" x14ac:dyDescent="0.2">
      <c r="A747" s="78"/>
      <c r="B747" s="78"/>
      <c r="C747" s="78"/>
      <c r="D747" s="78"/>
      <c r="E747" s="78"/>
      <c r="F747" s="78"/>
      <c r="G747" s="78"/>
      <c r="H747" s="78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  <c r="Y747" s="78"/>
      <c r="Z747" s="78"/>
    </row>
    <row r="748" spans="1:26" ht="12.75" customHeight="1" x14ac:dyDescent="0.2">
      <c r="A748" s="78"/>
      <c r="B748" s="78"/>
      <c r="C748" s="78"/>
      <c r="D748" s="78"/>
      <c r="E748" s="78"/>
      <c r="F748" s="78"/>
      <c r="G748" s="78"/>
      <c r="H748" s="78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  <c r="Y748" s="78"/>
      <c r="Z748" s="78"/>
    </row>
    <row r="749" spans="1:26" ht="12.75" customHeight="1" x14ac:dyDescent="0.2">
      <c r="A749" s="78"/>
      <c r="B749" s="78"/>
      <c r="C749" s="78"/>
      <c r="D749" s="78"/>
      <c r="E749" s="78"/>
      <c r="F749" s="78"/>
      <c r="G749" s="78"/>
      <c r="H749" s="78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  <c r="Y749" s="78"/>
      <c r="Z749" s="78"/>
    </row>
    <row r="750" spans="1:26" ht="12.75" customHeight="1" x14ac:dyDescent="0.2">
      <c r="A750" s="78"/>
      <c r="B750" s="78"/>
      <c r="C750" s="78"/>
      <c r="D750" s="78"/>
      <c r="E750" s="78"/>
      <c r="F750" s="78"/>
      <c r="G750" s="78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8"/>
      <c r="Z750" s="78"/>
    </row>
    <row r="751" spans="1:26" ht="12.75" customHeight="1" x14ac:dyDescent="0.2">
      <c r="A751" s="78"/>
      <c r="B751" s="78"/>
      <c r="C751" s="78"/>
      <c r="D751" s="78"/>
      <c r="E751" s="78"/>
      <c r="F751" s="78"/>
      <c r="G751" s="78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8"/>
      <c r="Z751" s="78"/>
    </row>
    <row r="752" spans="1:26" ht="12.75" customHeight="1" x14ac:dyDescent="0.2">
      <c r="A752" s="78"/>
      <c r="B752" s="78"/>
      <c r="C752" s="78"/>
      <c r="D752" s="78"/>
      <c r="E752" s="78"/>
      <c r="F752" s="78"/>
      <c r="G752" s="78"/>
      <c r="H752" s="78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8"/>
      <c r="Z752" s="78"/>
    </row>
    <row r="753" spans="1:26" ht="12.75" customHeight="1" x14ac:dyDescent="0.2">
      <c r="A753" s="78"/>
      <c r="B753" s="78"/>
      <c r="C753" s="78"/>
      <c r="D753" s="78"/>
      <c r="E753" s="78"/>
      <c r="F753" s="78"/>
      <c r="G753" s="78"/>
      <c r="H753" s="78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  <c r="Y753" s="78"/>
      <c r="Z753" s="78"/>
    </row>
    <row r="754" spans="1:26" ht="12.75" customHeight="1" x14ac:dyDescent="0.2">
      <c r="A754" s="78"/>
      <c r="B754" s="78"/>
      <c r="C754" s="78"/>
      <c r="D754" s="78"/>
      <c r="E754" s="78"/>
      <c r="F754" s="78"/>
      <c r="G754" s="78"/>
      <c r="H754" s="78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  <c r="Y754" s="78"/>
      <c r="Z754" s="78"/>
    </row>
    <row r="755" spans="1:26" ht="12.75" customHeight="1" x14ac:dyDescent="0.2">
      <c r="A755" s="78"/>
      <c r="B755" s="78"/>
      <c r="C755" s="78"/>
      <c r="D755" s="78"/>
      <c r="E755" s="78"/>
      <c r="F755" s="78"/>
      <c r="G755" s="78"/>
      <c r="H755" s="78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  <c r="Y755" s="78"/>
      <c r="Z755" s="78"/>
    </row>
    <row r="756" spans="1:26" ht="12.75" customHeight="1" x14ac:dyDescent="0.2">
      <c r="A756" s="78"/>
      <c r="B756" s="78"/>
      <c r="C756" s="78"/>
      <c r="D756" s="78"/>
      <c r="E756" s="78"/>
      <c r="F756" s="78"/>
      <c r="G756" s="78"/>
      <c r="H756" s="78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  <c r="Y756" s="78"/>
      <c r="Z756" s="78"/>
    </row>
    <row r="757" spans="1:26" ht="12.75" customHeight="1" x14ac:dyDescent="0.2">
      <c r="A757" s="78"/>
      <c r="B757" s="78"/>
      <c r="C757" s="78"/>
      <c r="D757" s="78"/>
      <c r="E757" s="78"/>
      <c r="F757" s="78"/>
      <c r="G757" s="78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  <c r="Y757" s="78"/>
      <c r="Z757" s="78"/>
    </row>
    <row r="758" spans="1:26" ht="12.75" customHeight="1" x14ac:dyDescent="0.2">
      <c r="A758" s="78"/>
      <c r="B758" s="78"/>
      <c r="C758" s="78"/>
      <c r="D758" s="78"/>
      <c r="E758" s="78"/>
      <c r="F758" s="78"/>
      <c r="G758" s="78"/>
      <c r="H758" s="78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  <c r="Y758" s="78"/>
      <c r="Z758" s="78"/>
    </row>
    <row r="759" spans="1:26" ht="12.75" customHeight="1" x14ac:dyDescent="0.2">
      <c r="A759" s="78"/>
      <c r="B759" s="78"/>
      <c r="C759" s="78"/>
      <c r="D759" s="78"/>
      <c r="E759" s="78"/>
      <c r="F759" s="78"/>
      <c r="G759" s="78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  <c r="Y759" s="78"/>
      <c r="Z759" s="78"/>
    </row>
    <row r="760" spans="1:26" ht="12.75" customHeight="1" x14ac:dyDescent="0.2">
      <c r="A760" s="78"/>
      <c r="B760" s="78"/>
      <c r="C760" s="78"/>
      <c r="D760" s="78"/>
      <c r="E760" s="78"/>
      <c r="F760" s="78"/>
      <c r="G760" s="78"/>
      <c r="H760" s="78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  <c r="Y760" s="78"/>
      <c r="Z760" s="78"/>
    </row>
    <row r="761" spans="1:26" ht="12.75" customHeight="1" x14ac:dyDescent="0.2">
      <c r="A761" s="78"/>
      <c r="B761" s="78"/>
      <c r="C761" s="78"/>
      <c r="D761" s="78"/>
      <c r="E761" s="78"/>
      <c r="F761" s="78"/>
      <c r="G761" s="78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8"/>
      <c r="Z761" s="78"/>
    </row>
    <row r="762" spans="1:26" ht="12.75" customHeight="1" x14ac:dyDescent="0.2">
      <c r="A762" s="78"/>
      <c r="B762" s="78"/>
      <c r="C762" s="78"/>
      <c r="D762" s="78"/>
      <c r="E762" s="78"/>
      <c r="F762" s="78"/>
      <c r="G762" s="78"/>
      <c r="H762" s="78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8"/>
      <c r="Z762" s="78"/>
    </row>
    <row r="763" spans="1:26" ht="12.75" customHeight="1" x14ac:dyDescent="0.2">
      <c r="A763" s="78"/>
      <c r="B763" s="78"/>
      <c r="C763" s="78"/>
      <c r="D763" s="78"/>
      <c r="E763" s="78"/>
      <c r="F763" s="78"/>
      <c r="G763" s="78"/>
      <c r="H763" s="78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  <c r="Z763" s="78"/>
    </row>
    <row r="764" spans="1:26" ht="12.75" customHeight="1" x14ac:dyDescent="0.2">
      <c r="A764" s="78"/>
      <c r="B764" s="78"/>
      <c r="C764" s="78"/>
      <c r="D764" s="78"/>
      <c r="E764" s="78"/>
      <c r="F764" s="78"/>
      <c r="G764" s="78"/>
      <c r="H764" s="78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  <c r="Y764" s="78"/>
      <c r="Z764" s="78"/>
    </row>
    <row r="765" spans="1:26" ht="12.75" customHeight="1" x14ac:dyDescent="0.2">
      <c r="A765" s="78"/>
      <c r="B765" s="78"/>
      <c r="C765" s="78"/>
      <c r="D765" s="78"/>
      <c r="E765" s="78"/>
      <c r="F765" s="78"/>
      <c r="G765" s="78"/>
      <c r="H765" s="78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  <c r="Y765" s="78"/>
      <c r="Z765" s="78"/>
    </row>
    <row r="766" spans="1:26" ht="12.75" customHeight="1" x14ac:dyDescent="0.2">
      <c r="A766" s="78"/>
      <c r="B766" s="78"/>
      <c r="C766" s="78"/>
      <c r="D766" s="78"/>
      <c r="E766" s="78"/>
      <c r="F766" s="78"/>
      <c r="G766" s="78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  <c r="Y766" s="78"/>
      <c r="Z766" s="78"/>
    </row>
    <row r="767" spans="1:26" ht="12.75" customHeight="1" x14ac:dyDescent="0.2">
      <c r="A767" s="78"/>
      <c r="B767" s="78"/>
      <c r="C767" s="78"/>
      <c r="D767" s="78"/>
      <c r="E767" s="78"/>
      <c r="F767" s="78"/>
      <c r="G767" s="78"/>
      <c r="H767" s="78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  <c r="Y767" s="78"/>
      <c r="Z767" s="78"/>
    </row>
    <row r="768" spans="1:26" ht="12.75" customHeight="1" x14ac:dyDescent="0.2">
      <c r="A768" s="78"/>
      <c r="B768" s="78"/>
      <c r="C768" s="78"/>
      <c r="D768" s="78"/>
      <c r="E768" s="78"/>
      <c r="F768" s="78"/>
      <c r="G768" s="78"/>
      <c r="H768" s="78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  <c r="Y768" s="78"/>
      <c r="Z768" s="78"/>
    </row>
    <row r="769" spans="1:26" ht="12.75" customHeight="1" x14ac:dyDescent="0.2">
      <c r="A769" s="78"/>
      <c r="B769" s="78"/>
      <c r="C769" s="78"/>
      <c r="D769" s="78"/>
      <c r="E769" s="78"/>
      <c r="F769" s="78"/>
      <c r="G769" s="78"/>
      <c r="H769" s="78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  <c r="Y769" s="78"/>
      <c r="Z769" s="78"/>
    </row>
    <row r="770" spans="1:26" ht="12.75" customHeight="1" x14ac:dyDescent="0.2">
      <c r="A770" s="78"/>
      <c r="B770" s="78"/>
      <c r="C770" s="78"/>
      <c r="D770" s="78"/>
      <c r="E770" s="78"/>
      <c r="F770" s="78"/>
      <c r="G770" s="78"/>
      <c r="H770" s="78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  <c r="Y770" s="78"/>
      <c r="Z770" s="78"/>
    </row>
    <row r="771" spans="1:26" ht="12.75" customHeight="1" x14ac:dyDescent="0.2">
      <c r="A771" s="78"/>
      <c r="B771" s="78"/>
      <c r="C771" s="78"/>
      <c r="D771" s="78"/>
      <c r="E771" s="78"/>
      <c r="F771" s="78"/>
      <c r="G771" s="78"/>
      <c r="H771" s="78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  <c r="Y771" s="78"/>
      <c r="Z771" s="78"/>
    </row>
    <row r="772" spans="1:26" ht="12.75" customHeight="1" x14ac:dyDescent="0.2">
      <c r="A772" s="78"/>
      <c r="B772" s="78"/>
      <c r="C772" s="78"/>
      <c r="D772" s="78"/>
      <c r="E772" s="78"/>
      <c r="F772" s="78"/>
      <c r="G772" s="78"/>
      <c r="H772" s="78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8"/>
      <c r="Z772" s="78"/>
    </row>
    <row r="773" spans="1:26" ht="12.75" customHeight="1" x14ac:dyDescent="0.2">
      <c r="A773" s="78"/>
      <c r="B773" s="78"/>
      <c r="C773" s="78"/>
      <c r="D773" s="78"/>
      <c r="E773" s="78"/>
      <c r="F773" s="78"/>
      <c r="G773" s="78"/>
      <c r="H773" s="78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  <c r="Y773" s="78"/>
      <c r="Z773" s="78"/>
    </row>
    <row r="774" spans="1:26" ht="12.75" customHeight="1" x14ac:dyDescent="0.2">
      <c r="A774" s="78"/>
      <c r="B774" s="78"/>
      <c r="C774" s="78"/>
      <c r="D774" s="78"/>
      <c r="E774" s="78"/>
      <c r="F774" s="78"/>
      <c r="G774" s="78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  <c r="Z774" s="78"/>
    </row>
    <row r="775" spans="1:26" ht="12.75" customHeight="1" x14ac:dyDescent="0.2">
      <c r="A775" s="78"/>
      <c r="B775" s="78"/>
      <c r="C775" s="78"/>
      <c r="D775" s="78"/>
      <c r="E775" s="78"/>
      <c r="F775" s="78"/>
      <c r="G775" s="78"/>
      <c r="H775" s="78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  <c r="Y775" s="78"/>
      <c r="Z775" s="78"/>
    </row>
    <row r="776" spans="1:26" ht="12.75" customHeight="1" x14ac:dyDescent="0.2">
      <c r="A776" s="78"/>
      <c r="B776" s="78"/>
      <c r="C776" s="78"/>
      <c r="D776" s="78"/>
      <c r="E776" s="78"/>
      <c r="F776" s="78"/>
      <c r="G776" s="78"/>
      <c r="H776" s="78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  <c r="Y776" s="78"/>
      <c r="Z776" s="78"/>
    </row>
    <row r="777" spans="1:26" ht="12.75" customHeight="1" x14ac:dyDescent="0.2">
      <c r="A777" s="78"/>
      <c r="B777" s="78"/>
      <c r="C777" s="78"/>
      <c r="D777" s="78"/>
      <c r="E777" s="78"/>
      <c r="F777" s="78"/>
      <c r="G777" s="78"/>
      <c r="H777" s="78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  <c r="Y777" s="78"/>
      <c r="Z777" s="78"/>
    </row>
    <row r="778" spans="1:26" ht="12.75" customHeight="1" x14ac:dyDescent="0.2">
      <c r="A778" s="78"/>
      <c r="B778" s="78"/>
      <c r="C778" s="78"/>
      <c r="D778" s="78"/>
      <c r="E778" s="78"/>
      <c r="F778" s="78"/>
      <c r="G778" s="78"/>
      <c r="H778" s="78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  <c r="Y778" s="78"/>
      <c r="Z778" s="78"/>
    </row>
    <row r="779" spans="1:26" ht="12.75" customHeight="1" x14ac:dyDescent="0.2">
      <c r="A779" s="78"/>
      <c r="B779" s="78"/>
      <c r="C779" s="78"/>
      <c r="D779" s="78"/>
      <c r="E779" s="78"/>
      <c r="F779" s="78"/>
      <c r="G779" s="78"/>
      <c r="H779" s="78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  <c r="Y779" s="78"/>
      <c r="Z779" s="78"/>
    </row>
    <row r="780" spans="1:26" ht="12.75" customHeight="1" x14ac:dyDescent="0.2">
      <c r="A780" s="78"/>
      <c r="B780" s="78"/>
      <c r="C780" s="78"/>
      <c r="D780" s="78"/>
      <c r="E780" s="78"/>
      <c r="F780" s="78"/>
      <c r="G780" s="78"/>
      <c r="H780" s="78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  <c r="Y780" s="78"/>
      <c r="Z780" s="78"/>
    </row>
    <row r="781" spans="1:26" ht="12.75" customHeight="1" x14ac:dyDescent="0.2">
      <c r="A781" s="78"/>
      <c r="B781" s="78"/>
      <c r="C781" s="78"/>
      <c r="D781" s="78"/>
      <c r="E781" s="78"/>
      <c r="F781" s="78"/>
      <c r="G781" s="78"/>
      <c r="H781" s="78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  <c r="Y781" s="78"/>
      <c r="Z781" s="78"/>
    </row>
    <row r="782" spans="1:26" ht="12.75" customHeight="1" x14ac:dyDescent="0.2">
      <c r="A782" s="78"/>
      <c r="B782" s="78"/>
      <c r="C782" s="78"/>
      <c r="D782" s="78"/>
      <c r="E782" s="78"/>
      <c r="F782" s="78"/>
      <c r="G782" s="78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  <c r="Z782" s="78"/>
    </row>
    <row r="783" spans="1:26" ht="12.75" customHeight="1" x14ac:dyDescent="0.2">
      <c r="A783" s="78"/>
      <c r="B783" s="78"/>
      <c r="C783" s="78"/>
      <c r="D783" s="78"/>
      <c r="E783" s="78"/>
      <c r="F783" s="78"/>
      <c r="G783" s="78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  <c r="Y783" s="78"/>
      <c r="Z783" s="78"/>
    </row>
    <row r="784" spans="1:26" ht="12.75" customHeight="1" x14ac:dyDescent="0.2">
      <c r="A784" s="78"/>
      <c r="B784" s="78"/>
      <c r="C784" s="78"/>
      <c r="D784" s="78"/>
      <c r="E784" s="78"/>
      <c r="F784" s="78"/>
      <c r="G784" s="78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8"/>
      <c r="Z784" s="78"/>
    </row>
    <row r="785" spans="1:26" ht="12.75" customHeight="1" x14ac:dyDescent="0.2">
      <c r="A785" s="78"/>
      <c r="B785" s="78"/>
      <c r="C785" s="78"/>
      <c r="D785" s="78"/>
      <c r="E785" s="78"/>
      <c r="F785" s="78"/>
      <c r="G785" s="78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8"/>
      <c r="Z785" s="78"/>
    </row>
    <row r="786" spans="1:26" ht="12.75" customHeight="1" x14ac:dyDescent="0.2">
      <c r="A786" s="78"/>
      <c r="B786" s="78"/>
      <c r="C786" s="78"/>
      <c r="D786" s="78"/>
      <c r="E786" s="78"/>
      <c r="F786" s="78"/>
      <c r="G786" s="78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8"/>
      <c r="Z786" s="78"/>
    </row>
    <row r="787" spans="1:26" ht="12.75" customHeight="1" x14ac:dyDescent="0.2">
      <c r="A787" s="78"/>
      <c r="B787" s="78"/>
      <c r="C787" s="78"/>
      <c r="D787" s="78"/>
      <c r="E787" s="78"/>
      <c r="F787" s="78"/>
      <c r="G787" s="78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8"/>
      <c r="Z787" s="78"/>
    </row>
    <row r="788" spans="1:26" ht="12.75" customHeight="1" x14ac:dyDescent="0.2">
      <c r="A788" s="78"/>
      <c r="B788" s="78"/>
      <c r="C788" s="78"/>
      <c r="D788" s="78"/>
      <c r="E788" s="78"/>
      <c r="F788" s="78"/>
      <c r="G788" s="78"/>
      <c r="H788" s="78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8"/>
      <c r="Z788" s="78"/>
    </row>
    <row r="789" spans="1:26" ht="12.75" customHeight="1" x14ac:dyDescent="0.2">
      <c r="A789" s="78"/>
      <c r="B789" s="78"/>
      <c r="C789" s="78"/>
      <c r="D789" s="78"/>
      <c r="E789" s="78"/>
      <c r="F789" s="78"/>
      <c r="G789" s="78"/>
      <c r="H789" s="78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8"/>
      <c r="Z789" s="78"/>
    </row>
    <row r="790" spans="1:26" ht="12.75" customHeight="1" x14ac:dyDescent="0.2">
      <c r="A790" s="78"/>
      <c r="B790" s="78"/>
      <c r="C790" s="78"/>
      <c r="D790" s="78"/>
      <c r="E790" s="78"/>
      <c r="F790" s="78"/>
      <c r="G790" s="78"/>
      <c r="H790" s="78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  <c r="Z790" s="78"/>
    </row>
    <row r="791" spans="1:26" ht="12.75" customHeight="1" x14ac:dyDescent="0.2">
      <c r="A791" s="78"/>
      <c r="B791" s="78"/>
      <c r="C791" s="78"/>
      <c r="D791" s="78"/>
      <c r="E791" s="78"/>
      <c r="F791" s="78"/>
      <c r="G791" s="78"/>
      <c r="H791" s="78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  <c r="Y791" s="78"/>
      <c r="Z791" s="78"/>
    </row>
    <row r="792" spans="1:26" ht="12.75" customHeight="1" x14ac:dyDescent="0.2">
      <c r="A792" s="78"/>
      <c r="B792" s="78"/>
      <c r="C792" s="78"/>
      <c r="D792" s="78"/>
      <c r="E792" s="78"/>
      <c r="F792" s="78"/>
      <c r="G792" s="78"/>
      <c r="H792" s="78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8"/>
      <c r="Z792" s="78"/>
    </row>
    <row r="793" spans="1:26" ht="12.75" customHeight="1" x14ac:dyDescent="0.2">
      <c r="A793" s="78"/>
      <c r="B793" s="78"/>
      <c r="C793" s="78"/>
      <c r="D793" s="78"/>
      <c r="E793" s="78"/>
      <c r="F793" s="78"/>
      <c r="G793" s="78"/>
      <c r="H793" s="78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  <c r="Y793" s="78"/>
      <c r="Z793" s="78"/>
    </row>
    <row r="794" spans="1:26" ht="12.75" customHeight="1" x14ac:dyDescent="0.2">
      <c r="A794" s="78"/>
      <c r="B794" s="78"/>
      <c r="C794" s="78"/>
      <c r="D794" s="78"/>
      <c r="E794" s="78"/>
      <c r="F794" s="78"/>
      <c r="G794" s="78"/>
      <c r="H794" s="78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  <c r="Y794" s="78"/>
      <c r="Z794" s="78"/>
    </row>
    <row r="795" spans="1:26" ht="12.75" customHeight="1" x14ac:dyDescent="0.2">
      <c r="A795" s="78"/>
      <c r="B795" s="78"/>
      <c r="C795" s="78"/>
      <c r="D795" s="78"/>
      <c r="E795" s="78"/>
      <c r="F795" s="78"/>
      <c r="G795" s="78"/>
      <c r="H795" s="78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  <c r="Y795" s="78"/>
      <c r="Z795" s="78"/>
    </row>
    <row r="796" spans="1:26" ht="12.75" customHeight="1" x14ac:dyDescent="0.2">
      <c r="A796" s="78"/>
      <c r="B796" s="78"/>
      <c r="C796" s="78"/>
      <c r="D796" s="78"/>
      <c r="E796" s="78"/>
      <c r="F796" s="78"/>
      <c r="G796" s="78"/>
      <c r="H796" s="78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  <c r="Y796" s="78"/>
      <c r="Z796" s="78"/>
    </row>
    <row r="797" spans="1:26" ht="12.75" customHeight="1" x14ac:dyDescent="0.2">
      <c r="A797" s="78"/>
      <c r="B797" s="78"/>
      <c r="C797" s="78"/>
      <c r="D797" s="78"/>
      <c r="E797" s="78"/>
      <c r="F797" s="78"/>
      <c r="G797" s="78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  <c r="Z797" s="78"/>
    </row>
    <row r="798" spans="1:26" ht="12.75" customHeight="1" x14ac:dyDescent="0.2">
      <c r="A798" s="78"/>
      <c r="B798" s="78"/>
      <c r="C798" s="78"/>
      <c r="D798" s="78"/>
      <c r="E798" s="78"/>
      <c r="F798" s="78"/>
      <c r="G798" s="78"/>
      <c r="H798" s="78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  <c r="Y798" s="78"/>
      <c r="Z798" s="78"/>
    </row>
    <row r="799" spans="1:26" ht="12.75" customHeight="1" x14ac:dyDescent="0.2">
      <c r="A799" s="78"/>
      <c r="B799" s="78"/>
      <c r="C799" s="78"/>
      <c r="D799" s="78"/>
      <c r="E799" s="78"/>
      <c r="F799" s="78"/>
      <c r="G799" s="78"/>
      <c r="H799" s="78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  <c r="Y799" s="78"/>
      <c r="Z799" s="78"/>
    </row>
    <row r="800" spans="1:26" ht="12.75" customHeight="1" x14ac:dyDescent="0.2">
      <c r="A800" s="78"/>
      <c r="B800" s="78"/>
      <c r="C800" s="78"/>
      <c r="D800" s="78"/>
      <c r="E800" s="78"/>
      <c r="F800" s="78"/>
      <c r="G800" s="78"/>
      <c r="H800" s="78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  <c r="Y800" s="78"/>
      <c r="Z800" s="78"/>
    </row>
    <row r="801" spans="1:26" ht="12.75" customHeight="1" x14ac:dyDescent="0.2">
      <c r="A801" s="78"/>
      <c r="B801" s="78"/>
      <c r="C801" s="78"/>
      <c r="D801" s="78"/>
      <c r="E801" s="78"/>
      <c r="F801" s="78"/>
      <c r="G801" s="78"/>
      <c r="H801" s="78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  <c r="Y801" s="78"/>
      <c r="Z801" s="78"/>
    </row>
    <row r="802" spans="1:26" ht="12.75" customHeight="1" x14ac:dyDescent="0.2">
      <c r="A802" s="78"/>
      <c r="B802" s="78"/>
      <c r="C802" s="78"/>
      <c r="D802" s="78"/>
      <c r="E802" s="78"/>
      <c r="F802" s="78"/>
      <c r="G802" s="78"/>
      <c r="H802" s="78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8"/>
      <c r="Z802" s="78"/>
    </row>
    <row r="803" spans="1:26" ht="12.75" customHeight="1" x14ac:dyDescent="0.2">
      <c r="A803" s="78"/>
      <c r="B803" s="78"/>
      <c r="C803" s="78"/>
      <c r="D803" s="78"/>
      <c r="E803" s="78"/>
      <c r="F803" s="78"/>
      <c r="G803" s="78"/>
      <c r="H803" s="78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  <c r="Z803" s="78"/>
    </row>
    <row r="804" spans="1:26" ht="12.75" customHeight="1" x14ac:dyDescent="0.2">
      <c r="A804" s="78"/>
      <c r="B804" s="78"/>
      <c r="C804" s="78"/>
      <c r="D804" s="78"/>
      <c r="E804" s="78"/>
      <c r="F804" s="78"/>
      <c r="G804" s="78"/>
      <c r="H804" s="78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  <c r="Y804" s="78"/>
      <c r="Z804" s="78"/>
    </row>
    <row r="805" spans="1:26" ht="12.75" customHeight="1" x14ac:dyDescent="0.2">
      <c r="A805" s="78"/>
      <c r="B805" s="78"/>
      <c r="C805" s="78"/>
      <c r="D805" s="78"/>
      <c r="E805" s="78"/>
      <c r="F805" s="78"/>
      <c r="G805" s="78"/>
      <c r="H805" s="78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  <c r="Y805" s="78"/>
      <c r="Z805" s="78"/>
    </row>
    <row r="806" spans="1:26" ht="12.75" customHeight="1" x14ac:dyDescent="0.2">
      <c r="A806" s="78"/>
      <c r="B806" s="78"/>
      <c r="C806" s="78"/>
      <c r="D806" s="78"/>
      <c r="E806" s="78"/>
      <c r="F806" s="78"/>
      <c r="G806" s="78"/>
      <c r="H806" s="78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  <c r="Y806" s="78"/>
      <c r="Z806" s="78"/>
    </row>
    <row r="807" spans="1:26" ht="12.75" customHeight="1" x14ac:dyDescent="0.2">
      <c r="A807" s="78"/>
      <c r="B807" s="78"/>
      <c r="C807" s="78"/>
      <c r="D807" s="78"/>
      <c r="E807" s="78"/>
      <c r="F807" s="78"/>
      <c r="G807" s="78"/>
      <c r="H807" s="78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  <c r="Y807" s="78"/>
      <c r="Z807" s="78"/>
    </row>
    <row r="808" spans="1:26" ht="12.75" customHeight="1" x14ac:dyDescent="0.2">
      <c r="A808" s="78"/>
      <c r="B808" s="78"/>
      <c r="C808" s="78"/>
      <c r="D808" s="78"/>
      <c r="E808" s="78"/>
      <c r="F808" s="78"/>
      <c r="G808" s="78"/>
      <c r="H808" s="78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  <c r="Y808" s="78"/>
      <c r="Z808" s="78"/>
    </row>
    <row r="809" spans="1:26" ht="12.75" customHeight="1" x14ac:dyDescent="0.2">
      <c r="A809" s="78"/>
      <c r="B809" s="78"/>
      <c r="C809" s="78"/>
      <c r="D809" s="78"/>
      <c r="E809" s="78"/>
      <c r="F809" s="78"/>
      <c r="G809" s="78"/>
      <c r="H809" s="78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  <c r="Y809" s="78"/>
      <c r="Z809" s="78"/>
    </row>
    <row r="810" spans="1:26" ht="12.75" customHeight="1" x14ac:dyDescent="0.2">
      <c r="A810" s="78"/>
      <c r="B810" s="78"/>
      <c r="C810" s="78"/>
      <c r="D810" s="78"/>
      <c r="E810" s="78"/>
      <c r="F810" s="78"/>
      <c r="G810" s="78"/>
      <c r="H810" s="78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  <c r="Y810" s="78"/>
      <c r="Z810" s="78"/>
    </row>
    <row r="811" spans="1:26" ht="12.75" customHeight="1" x14ac:dyDescent="0.2">
      <c r="A811" s="78"/>
      <c r="B811" s="78"/>
      <c r="C811" s="78"/>
      <c r="D811" s="78"/>
      <c r="E811" s="78"/>
      <c r="F811" s="78"/>
      <c r="G811" s="78"/>
      <c r="H811" s="78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  <c r="Y811" s="78"/>
      <c r="Z811" s="78"/>
    </row>
    <row r="812" spans="1:26" ht="12.75" customHeight="1" x14ac:dyDescent="0.2">
      <c r="A812" s="78"/>
      <c r="B812" s="78"/>
      <c r="C812" s="78"/>
      <c r="D812" s="78"/>
      <c r="E812" s="78"/>
      <c r="F812" s="78"/>
      <c r="G812" s="78"/>
      <c r="H812" s="78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  <c r="Y812" s="78"/>
      <c r="Z812" s="78"/>
    </row>
    <row r="813" spans="1:26" ht="12.75" customHeight="1" x14ac:dyDescent="0.2">
      <c r="A813" s="78"/>
      <c r="B813" s="78"/>
      <c r="C813" s="78"/>
      <c r="D813" s="78"/>
      <c r="E813" s="78"/>
      <c r="F813" s="78"/>
      <c r="G813" s="78"/>
      <c r="H813" s="78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  <c r="Y813" s="78"/>
      <c r="Z813" s="78"/>
    </row>
    <row r="814" spans="1:26" ht="12.75" customHeight="1" x14ac:dyDescent="0.2">
      <c r="A814" s="78"/>
      <c r="B814" s="78"/>
      <c r="C814" s="78"/>
      <c r="D814" s="78"/>
      <c r="E814" s="78"/>
      <c r="F814" s="78"/>
      <c r="G814" s="78"/>
      <c r="H814" s="78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  <c r="Y814" s="78"/>
      <c r="Z814" s="78"/>
    </row>
    <row r="815" spans="1:26" ht="12.75" customHeight="1" x14ac:dyDescent="0.2">
      <c r="A815" s="78"/>
      <c r="B815" s="78"/>
      <c r="C815" s="78"/>
      <c r="D815" s="78"/>
      <c r="E815" s="78"/>
      <c r="F815" s="78"/>
      <c r="G815" s="78"/>
      <c r="H815" s="78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  <c r="Y815" s="78"/>
      <c r="Z815" s="78"/>
    </row>
    <row r="816" spans="1:26" ht="12.75" customHeight="1" x14ac:dyDescent="0.2">
      <c r="A816" s="78"/>
      <c r="B816" s="78"/>
      <c r="C816" s="78"/>
      <c r="D816" s="78"/>
      <c r="E816" s="78"/>
      <c r="F816" s="78"/>
      <c r="G816" s="78"/>
      <c r="H816" s="78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  <c r="Y816" s="78"/>
      <c r="Z816" s="78"/>
    </row>
    <row r="817" spans="1:26" ht="12.75" customHeight="1" x14ac:dyDescent="0.2">
      <c r="A817" s="78"/>
      <c r="B817" s="78"/>
      <c r="C817" s="78"/>
      <c r="D817" s="78"/>
      <c r="E817" s="78"/>
      <c r="F817" s="78"/>
      <c r="G817" s="78"/>
      <c r="H817" s="78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  <c r="Y817" s="78"/>
      <c r="Z817" s="78"/>
    </row>
    <row r="818" spans="1:26" ht="12.75" customHeight="1" x14ac:dyDescent="0.2">
      <c r="A818" s="78"/>
      <c r="B818" s="78"/>
      <c r="C818" s="78"/>
      <c r="D818" s="78"/>
      <c r="E818" s="78"/>
      <c r="F818" s="78"/>
      <c r="G818" s="78"/>
      <c r="H818" s="78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  <c r="Y818" s="78"/>
      <c r="Z818" s="78"/>
    </row>
    <row r="819" spans="1:26" ht="12.75" customHeight="1" x14ac:dyDescent="0.2">
      <c r="A819" s="78"/>
      <c r="B819" s="78"/>
      <c r="C819" s="78"/>
      <c r="D819" s="78"/>
      <c r="E819" s="78"/>
      <c r="F819" s="78"/>
      <c r="G819" s="78"/>
      <c r="H819" s="78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  <c r="Y819" s="78"/>
      <c r="Z819" s="78"/>
    </row>
    <row r="820" spans="1:26" ht="12.75" customHeight="1" x14ac:dyDescent="0.2">
      <c r="A820" s="78"/>
      <c r="B820" s="78"/>
      <c r="C820" s="78"/>
      <c r="D820" s="78"/>
      <c r="E820" s="78"/>
      <c r="F820" s="78"/>
      <c r="G820" s="78"/>
      <c r="H820" s="78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  <c r="Y820" s="78"/>
      <c r="Z820" s="78"/>
    </row>
    <row r="821" spans="1:26" ht="12.75" customHeight="1" x14ac:dyDescent="0.2">
      <c r="A821" s="78"/>
      <c r="B821" s="78"/>
      <c r="C821" s="78"/>
      <c r="D821" s="78"/>
      <c r="E821" s="78"/>
      <c r="F821" s="78"/>
      <c r="G821" s="78"/>
      <c r="H821" s="78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  <c r="Y821" s="78"/>
      <c r="Z821" s="78"/>
    </row>
    <row r="822" spans="1:26" ht="12.75" customHeight="1" x14ac:dyDescent="0.2">
      <c r="A822" s="78"/>
      <c r="B822" s="78"/>
      <c r="C822" s="78"/>
      <c r="D822" s="78"/>
      <c r="E822" s="78"/>
      <c r="F822" s="78"/>
      <c r="G822" s="78"/>
      <c r="H822" s="78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  <c r="Y822" s="78"/>
      <c r="Z822" s="78"/>
    </row>
    <row r="823" spans="1:26" ht="12.75" customHeight="1" x14ac:dyDescent="0.2">
      <c r="A823" s="78"/>
      <c r="B823" s="78"/>
      <c r="C823" s="78"/>
      <c r="D823" s="78"/>
      <c r="E823" s="78"/>
      <c r="F823" s="78"/>
      <c r="G823" s="78"/>
      <c r="H823" s="78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  <c r="Y823" s="78"/>
      <c r="Z823" s="78"/>
    </row>
    <row r="824" spans="1:26" ht="12.75" customHeight="1" x14ac:dyDescent="0.2">
      <c r="A824" s="78"/>
      <c r="B824" s="78"/>
      <c r="C824" s="78"/>
      <c r="D824" s="78"/>
      <c r="E824" s="78"/>
      <c r="F824" s="78"/>
      <c r="G824" s="78"/>
      <c r="H824" s="78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  <c r="Y824" s="78"/>
      <c r="Z824" s="78"/>
    </row>
    <row r="825" spans="1:26" ht="12.75" customHeight="1" x14ac:dyDescent="0.2">
      <c r="A825" s="78"/>
      <c r="B825" s="78"/>
      <c r="C825" s="78"/>
      <c r="D825" s="78"/>
      <c r="E825" s="78"/>
      <c r="F825" s="78"/>
      <c r="G825" s="78"/>
      <c r="H825" s="78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  <c r="Y825" s="78"/>
      <c r="Z825" s="78"/>
    </row>
    <row r="826" spans="1:26" ht="12.75" customHeight="1" x14ac:dyDescent="0.2">
      <c r="A826" s="78"/>
      <c r="B826" s="78"/>
      <c r="C826" s="78"/>
      <c r="D826" s="78"/>
      <c r="E826" s="78"/>
      <c r="F826" s="78"/>
      <c r="G826" s="78"/>
      <c r="H826" s="78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  <c r="Y826" s="78"/>
      <c r="Z826" s="78"/>
    </row>
    <row r="827" spans="1:26" ht="12.75" customHeight="1" x14ac:dyDescent="0.2">
      <c r="A827" s="78"/>
      <c r="B827" s="78"/>
      <c r="C827" s="78"/>
      <c r="D827" s="78"/>
      <c r="E827" s="78"/>
      <c r="F827" s="78"/>
      <c r="G827" s="78"/>
      <c r="H827" s="78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  <c r="Y827" s="78"/>
      <c r="Z827" s="78"/>
    </row>
    <row r="828" spans="1:26" ht="12.75" customHeight="1" x14ac:dyDescent="0.2">
      <c r="A828" s="78"/>
      <c r="B828" s="78"/>
      <c r="C828" s="78"/>
      <c r="D828" s="78"/>
      <c r="E828" s="78"/>
      <c r="F828" s="78"/>
      <c r="G828" s="78"/>
      <c r="H828" s="78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  <c r="Y828" s="78"/>
      <c r="Z828" s="78"/>
    </row>
    <row r="829" spans="1:26" ht="12.75" customHeight="1" x14ac:dyDescent="0.2">
      <c r="A829" s="78"/>
      <c r="B829" s="78"/>
      <c r="C829" s="78"/>
      <c r="D829" s="78"/>
      <c r="E829" s="78"/>
      <c r="F829" s="78"/>
      <c r="G829" s="78"/>
      <c r="H829" s="78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  <c r="Y829" s="78"/>
      <c r="Z829" s="78"/>
    </row>
    <row r="830" spans="1:26" ht="12.75" customHeight="1" x14ac:dyDescent="0.2">
      <c r="A830" s="78"/>
      <c r="B830" s="78"/>
      <c r="C830" s="78"/>
      <c r="D830" s="78"/>
      <c r="E830" s="78"/>
      <c r="F830" s="78"/>
      <c r="G830" s="78"/>
      <c r="H830" s="78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  <c r="Y830" s="78"/>
      <c r="Z830" s="78"/>
    </row>
    <row r="831" spans="1:26" ht="12.75" customHeight="1" x14ac:dyDescent="0.2">
      <c r="A831" s="78"/>
      <c r="B831" s="78"/>
      <c r="C831" s="78"/>
      <c r="D831" s="78"/>
      <c r="E831" s="78"/>
      <c r="F831" s="78"/>
      <c r="G831" s="78"/>
      <c r="H831" s="78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  <c r="Y831" s="78"/>
      <c r="Z831" s="78"/>
    </row>
    <row r="832" spans="1:26" ht="12.75" customHeight="1" x14ac:dyDescent="0.2">
      <c r="A832" s="78"/>
      <c r="B832" s="78"/>
      <c r="C832" s="78"/>
      <c r="D832" s="78"/>
      <c r="E832" s="78"/>
      <c r="F832" s="78"/>
      <c r="G832" s="78"/>
      <c r="H832" s="78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  <c r="Y832" s="78"/>
      <c r="Z832" s="78"/>
    </row>
    <row r="833" spans="1:26" ht="12.75" customHeight="1" x14ac:dyDescent="0.2">
      <c r="A833" s="78"/>
      <c r="B833" s="78"/>
      <c r="C833" s="78"/>
      <c r="D833" s="78"/>
      <c r="E833" s="78"/>
      <c r="F833" s="78"/>
      <c r="G833" s="78"/>
      <c r="H833" s="78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  <c r="Y833" s="78"/>
      <c r="Z833" s="78"/>
    </row>
    <row r="834" spans="1:26" ht="12.75" customHeight="1" x14ac:dyDescent="0.2">
      <c r="A834" s="78"/>
      <c r="B834" s="78"/>
      <c r="C834" s="78"/>
      <c r="D834" s="78"/>
      <c r="E834" s="78"/>
      <c r="F834" s="78"/>
      <c r="G834" s="78"/>
      <c r="H834" s="78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8"/>
      <c r="Z834" s="78"/>
    </row>
    <row r="835" spans="1:26" ht="12.75" customHeight="1" x14ac:dyDescent="0.2">
      <c r="A835" s="78"/>
      <c r="B835" s="78"/>
      <c r="C835" s="78"/>
      <c r="D835" s="78"/>
      <c r="E835" s="78"/>
      <c r="F835" s="78"/>
      <c r="G835" s="78"/>
      <c r="H835" s="78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  <c r="Y835" s="78"/>
      <c r="Z835" s="78"/>
    </row>
    <row r="836" spans="1:26" ht="12.75" customHeight="1" x14ac:dyDescent="0.2">
      <c r="A836" s="78"/>
      <c r="B836" s="78"/>
      <c r="C836" s="78"/>
      <c r="D836" s="78"/>
      <c r="E836" s="78"/>
      <c r="F836" s="78"/>
      <c r="G836" s="78"/>
      <c r="H836" s="78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  <c r="Y836" s="78"/>
      <c r="Z836" s="78"/>
    </row>
    <row r="837" spans="1:26" ht="12.75" customHeight="1" x14ac:dyDescent="0.2">
      <c r="A837" s="78"/>
      <c r="B837" s="78"/>
      <c r="C837" s="78"/>
      <c r="D837" s="78"/>
      <c r="E837" s="78"/>
      <c r="F837" s="78"/>
      <c r="G837" s="78"/>
      <c r="H837" s="78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  <c r="Y837" s="78"/>
      <c r="Z837" s="78"/>
    </row>
    <row r="838" spans="1:26" ht="12.75" customHeight="1" x14ac:dyDescent="0.2">
      <c r="A838" s="78"/>
      <c r="B838" s="78"/>
      <c r="C838" s="78"/>
      <c r="D838" s="78"/>
      <c r="E838" s="78"/>
      <c r="F838" s="78"/>
      <c r="G838" s="78"/>
      <c r="H838" s="78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8"/>
      <c r="Z838" s="78"/>
    </row>
    <row r="839" spans="1:26" ht="12.75" customHeight="1" x14ac:dyDescent="0.2">
      <c r="A839" s="78"/>
      <c r="B839" s="78"/>
      <c r="C839" s="78"/>
      <c r="D839" s="78"/>
      <c r="E839" s="78"/>
      <c r="F839" s="78"/>
      <c r="G839" s="78"/>
      <c r="H839" s="78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  <c r="Y839" s="78"/>
      <c r="Z839" s="78"/>
    </row>
    <row r="840" spans="1:26" ht="12.75" customHeight="1" x14ac:dyDescent="0.2">
      <c r="A840" s="78"/>
      <c r="B840" s="78"/>
      <c r="C840" s="78"/>
      <c r="D840" s="78"/>
      <c r="E840" s="78"/>
      <c r="F840" s="78"/>
      <c r="G840" s="78"/>
      <c r="H840" s="78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  <c r="X840" s="78"/>
      <c r="Y840" s="78"/>
      <c r="Z840" s="78"/>
    </row>
    <row r="841" spans="1:26" ht="12.75" customHeight="1" x14ac:dyDescent="0.2">
      <c r="A841" s="78"/>
      <c r="B841" s="78"/>
      <c r="C841" s="78"/>
      <c r="D841" s="78"/>
      <c r="E841" s="78"/>
      <c r="F841" s="78"/>
      <c r="G841" s="78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  <c r="Z841" s="78"/>
    </row>
    <row r="842" spans="1:26" ht="12.75" customHeight="1" x14ac:dyDescent="0.2">
      <c r="A842" s="78"/>
      <c r="B842" s="78"/>
      <c r="C842" s="78"/>
      <c r="D842" s="78"/>
      <c r="E842" s="78"/>
      <c r="F842" s="78"/>
      <c r="G842" s="78"/>
      <c r="H842" s="78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8"/>
      <c r="Z842" s="78"/>
    </row>
    <row r="843" spans="1:26" ht="12.75" customHeight="1" x14ac:dyDescent="0.2">
      <c r="A843" s="78"/>
      <c r="B843" s="78"/>
      <c r="C843" s="78"/>
      <c r="D843" s="78"/>
      <c r="E843" s="78"/>
      <c r="F843" s="78"/>
      <c r="G843" s="78"/>
      <c r="H843" s="78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  <c r="Z843" s="78"/>
    </row>
    <row r="844" spans="1:26" ht="12.75" customHeight="1" x14ac:dyDescent="0.2">
      <c r="A844" s="78"/>
      <c r="B844" s="78"/>
      <c r="C844" s="78"/>
      <c r="D844" s="78"/>
      <c r="E844" s="78"/>
      <c r="F844" s="78"/>
      <c r="G844" s="78"/>
      <c r="H844" s="78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  <c r="Y844" s="78"/>
      <c r="Z844" s="78"/>
    </row>
    <row r="845" spans="1:26" ht="12.75" customHeight="1" x14ac:dyDescent="0.2">
      <c r="A845" s="78"/>
      <c r="B845" s="78"/>
      <c r="C845" s="78"/>
      <c r="D845" s="78"/>
      <c r="E845" s="78"/>
      <c r="F845" s="78"/>
      <c r="G845" s="78"/>
      <c r="H845" s="78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  <c r="Y845" s="78"/>
      <c r="Z845" s="78"/>
    </row>
    <row r="846" spans="1:26" ht="12.75" customHeight="1" x14ac:dyDescent="0.2">
      <c r="A846" s="78"/>
      <c r="B846" s="78"/>
      <c r="C846" s="78"/>
      <c r="D846" s="78"/>
      <c r="E846" s="78"/>
      <c r="F846" s="78"/>
      <c r="G846" s="78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  <c r="Y846" s="78"/>
      <c r="Z846" s="78"/>
    </row>
    <row r="847" spans="1:26" ht="12.75" customHeight="1" x14ac:dyDescent="0.2">
      <c r="A847" s="78"/>
      <c r="B847" s="78"/>
      <c r="C847" s="78"/>
      <c r="D847" s="78"/>
      <c r="E847" s="78"/>
      <c r="F847" s="78"/>
      <c r="G847" s="78"/>
      <c r="H847" s="78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  <c r="Y847" s="78"/>
      <c r="Z847" s="78"/>
    </row>
    <row r="848" spans="1:26" ht="12.75" customHeight="1" x14ac:dyDescent="0.2">
      <c r="A848" s="78"/>
      <c r="B848" s="78"/>
      <c r="C848" s="78"/>
      <c r="D848" s="78"/>
      <c r="E848" s="78"/>
      <c r="F848" s="78"/>
      <c r="G848" s="78"/>
      <c r="H848" s="78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  <c r="Y848" s="78"/>
      <c r="Z848" s="78"/>
    </row>
    <row r="849" spans="1:26" ht="12.75" customHeight="1" x14ac:dyDescent="0.2">
      <c r="A849" s="78"/>
      <c r="B849" s="78"/>
      <c r="C849" s="78"/>
      <c r="D849" s="78"/>
      <c r="E849" s="78"/>
      <c r="F849" s="78"/>
      <c r="G849" s="78"/>
      <c r="H849" s="78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  <c r="Y849" s="78"/>
      <c r="Z849" s="78"/>
    </row>
    <row r="850" spans="1:26" ht="12.75" customHeight="1" x14ac:dyDescent="0.2">
      <c r="A850" s="78"/>
      <c r="B850" s="78"/>
      <c r="C850" s="78"/>
      <c r="D850" s="78"/>
      <c r="E850" s="78"/>
      <c r="F850" s="78"/>
      <c r="G850" s="78"/>
      <c r="H850" s="78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  <c r="Y850" s="78"/>
      <c r="Z850" s="78"/>
    </row>
    <row r="851" spans="1:26" ht="12.75" customHeight="1" x14ac:dyDescent="0.2">
      <c r="A851" s="78"/>
      <c r="B851" s="78"/>
      <c r="C851" s="78"/>
      <c r="D851" s="78"/>
      <c r="E851" s="78"/>
      <c r="F851" s="78"/>
      <c r="G851" s="78"/>
      <c r="H851" s="78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  <c r="Y851" s="78"/>
      <c r="Z851" s="78"/>
    </row>
    <row r="852" spans="1:26" ht="12.75" customHeight="1" x14ac:dyDescent="0.2">
      <c r="A852" s="78"/>
      <c r="B852" s="78"/>
      <c r="C852" s="78"/>
      <c r="D852" s="78"/>
      <c r="E852" s="78"/>
      <c r="F852" s="78"/>
      <c r="G852" s="78"/>
      <c r="H852" s="78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  <c r="Y852" s="78"/>
      <c r="Z852" s="78"/>
    </row>
    <row r="853" spans="1:26" ht="12.75" customHeight="1" x14ac:dyDescent="0.2">
      <c r="A853" s="78"/>
      <c r="B853" s="78"/>
      <c r="C853" s="78"/>
      <c r="D853" s="78"/>
      <c r="E853" s="78"/>
      <c r="F853" s="78"/>
      <c r="G853" s="78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  <c r="Z853" s="78"/>
    </row>
    <row r="854" spans="1:26" ht="12.75" customHeight="1" x14ac:dyDescent="0.2">
      <c r="A854" s="78"/>
      <c r="B854" s="78"/>
      <c r="C854" s="78"/>
      <c r="D854" s="78"/>
      <c r="E854" s="78"/>
      <c r="F854" s="78"/>
      <c r="G854" s="78"/>
      <c r="H854" s="78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  <c r="Y854" s="78"/>
      <c r="Z854" s="78"/>
    </row>
    <row r="855" spans="1:26" ht="12.75" customHeight="1" x14ac:dyDescent="0.2">
      <c r="A855" s="78"/>
      <c r="B855" s="78"/>
      <c r="C855" s="78"/>
      <c r="D855" s="78"/>
      <c r="E855" s="78"/>
      <c r="F855" s="78"/>
      <c r="G855" s="78"/>
      <c r="H855" s="78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  <c r="Y855" s="78"/>
      <c r="Z855" s="78"/>
    </row>
    <row r="856" spans="1:26" ht="12.75" customHeight="1" x14ac:dyDescent="0.2">
      <c r="A856" s="78"/>
      <c r="B856" s="78"/>
      <c r="C856" s="78"/>
      <c r="D856" s="78"/>
      <c r="E856" s="78"/>
      <c r="F856" s="78"/>
      <c r="G856" s="78"/>
      <c r="H856" s="78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8"/>
      <c r="Z856" s="78"/>
    </row>
    <row r="857" spans="1:26" ht="12.75" customHeight="1" x14ac:dyDescent="0.2">
      <c r="A857" s="78"/>
      <c r="B857" s="78"/>
      <c r="C857" s="78"/>
      <c r="D857" s="78"/>
      <c r="E857" s="78"/>
      <c r="F857" s="78"/>
      <c r="G857" s="78"/>
      <c r="H857" s="78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  <c r="Y857" s="78"/>
      <c r="Z857" s="78"/>
    </row>
    <row r="858" spans="1:26" ht="12.75" customHeight="1" x14ac:dyDescent="0.2">
      <c r="A858" s="78"/>
      <c r="B858" s="78"/>
      <c r="C858" s="78"/>
      <c r="D858" s="78"/>
      <c r="E858" s="78"/>
      <c r="F858" s="78"/>
      <c r="G858" s="78"/>
      <c r="H858" s="78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  <c r="Y858" s="78"/>
      <c r="Z858" s="78"/>
    </row>
    <row r="859" spans="1:26" ht="12.75" customHeight="1" x14ac:dyDescent="0.2">
      <c r="A859" s="78"/>
      <c r="B859" s="78"/>
      <c r="C859" s="78"/>
      <c r="D859" s="78"/>
      <c r="E859" s="78"/>
      <c r="F859" s="78"/>
      <c r="G859" s="78"/>
      <c r="H859" s="78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  <c r="Y859" s="78"/>
      <c r="Z859" s="78"/>
    </row>
    <row r="860" spans="1:26" ht="12.75" customHeight="1" x14ac:dyDescent="0.2">
      <c r="A860" s="78"/>
      <c r="B860" s="78"/>
      <c r="C860" s="78"/>
      <c r="D860" s="78"/>
      <c r="E860" s="78"/>
      <c r="F860" s="78"/>
      <c r="G860" s="78"/>
      <c r="H860" s="78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  <c r="Y860" s="78"/>
      <c r="Z860" s="78"/>
    </row>
    <row r="861" spans="1:26" ht="12.75" customHeight="1" x14ac:dyDescent="0.2">
      <c r="A861" s="78"/>
      <c r="B861" s="78"/>
      <c r="C861" s="78"/>
      <c r="D861" s="78"/>
      <c r="E861" s="78"/>
      <c r="F861" s="78"/>
      <c r="G861" s="78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  <c r="Z861" s="78"/>
    </row>
    <row r="862" spans="1:26" ht="12.75" customHeight="1" x14ac:dyDescent="0.2">
      <c r="A862" s="78"/>
      <c r="B862" s="78"/>
      <c r="C862" s="78"/>
      <c r="D862" s="78"/>
      <c r="E862" s="78"/>
      <c r="F862" s="78"/>
      <c r="G862" s="78"/>
      <c r="H862" s="78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  <c r="Y862" s="78"/>
      <c r="Z862" s="78"/>
    </row>
    <row r="863" spans="1:26" ht="12.75" customHeight="1" x14ac:dyDescent="0.2">
      <c r="A863" s="78"/>
      <c r="B863" s="78"/>
      <c r="C863" s="78"/>
      <c r="D863" s="78"/>
      <c r="E863" s="78"/>
      <c r="F863" s="78"/>
      <c r="G863" s="78"/>
      <c r="H863" s="78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  <c r="Y863" s="78"/>
      <c r="Z863" s="78"/>
    </row>
    <row r="864" spans="1:26" ht="12.75" customHeight="1" x14ac:dyDescent="0.2">
      <c r="A864" s="78"/>
      <c r="B864" s="78"/>
      <c r="C864" s="78"/>
      <c r="D864" s="78"/>
      <c r="E864" s="78"/>
      <c r="F864" s="78"/>
      <c r="G864" s="78"/>
      <c r="H864" s="78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  <c r="Y864" s="78"/>
      <c r="Z864" s="78"/>
    </row>
    <row r="865" spans="1:26" ht="12.75" customHeight="1" x14ac:dyDescent="0.2">
      <c r="A865" s="78"/>
      <c r="B865" s="78"/>
      <c r="C865" s="78"/>
      <c r="D865" s="78"/>
      <c r="E865" s="78"/>
      <c r="F865" s="78"/>
      <c r="G865" s="78"/>
      <c r="H865" s="78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  <c r="Y865" s="78"/>
      <c r="Z865" s="78"/>
    </row>
    <row r="866" spans="1:26" ht="12.75" customHeight="1" x14ac:dyDescent="0.2">
      <c r="A866" s="78"/>
      <c r="B866" s="78"/>
      <c r="C866" s="78"/>
      <c r="D866" s="78"/>
      <c r="E866" s="78"/>
      <c r="F866" s="78"/>
      <c r="G866" s="78"/>
      <c r="H866" s="78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  <c r="Y866" s="78"/>
      <c r="Z866" s="78"/>
    </row>
    <row r="867" spans="1:26" ht="12.75" customHeight="1" x14ac:dyDescent="0.2">
      <c r="A867" s="78"/>
      <c r="B867" s="78"/>
      <c r="C867" s="78"/>
      <c r="D867" s="78"/>
      <c r="E867" s="78"/>
      <c r="F867" s="78"/>
      <c r="G867" s="78"/>
      <c r="H867" s="78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  <c r="Y867" s="78"/>
      <c r="Z867" s="78"/>
    </row>
    <row r="868" spans="1:26" ht="12.75" customHeight="1" x14ac:dyDescent="0.2">
      <c r="A868" s="78"/>
      <c r="B868" s="78"/>
      <c r="C868" s="78"/>
      <c r="D868" s="78"/>
      <c r="E868" s="78"/>
      <c r="F868" s="78"/>
      <c r="G868" s="78"/>
      <c r="H868" s="78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  <c r="Y868" s="78"/>
      <c r="Z868" s="78"/>
    </row>
    <row r="869" spans="1:26" ht="12.75" customHeight="1" x14ac:dyDescent="0.2">
      <c r="A869" s="78"/>
      <c r="B869" s="78"/>
      <c r="C869" s="78"/>
      <c r="D869" s="78"/>
      <c r="E869" s="78"/>
      <c r="F869" s="78"/>
      <c r="G869" s="78"/>
      <c r="H869" s="78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  <c r="Y869" s="78"/>
      <c r="Z869" s="78"/>
    </row>
    <row r="870" spans="1:26" ht="12.75" customHeight="1" x14ac:dyDescent="0.2">
      <c r="A870" s="78"/>
      <c r="B870" s="78"/>
      <c r="C870" s="78"/>
      <c r="D870" s="78"/>
      <c r="E870" s="78"/>
      <c r="F870" s="78"/>
      <c r="G870" s="78"/>
      <c r="H870" s="78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  <c r="Y870" s="78"/>
      <c r="Z870" s="78"/>
    </row>
    <row r="871" spans="1:26" ht="12.75" customHeight="1" x14ac:dyDescent="0.2">
      <c r="A871" s="78"/>
      <c r="B871" s="78"/>
      <c r="C871" s="78"/>
      <c r="D871" s="78"/>
      <c r="E871" s="78"/>
      <c r="F871" s="78"/>
      <c r="G871" s="78"/>
      <c r="H871" s="78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  <c r="Y871" s="78"/>
      <c r="Z871" s="78"/>
    </row>
    <row r="872" spans="1:26" ht="12.75" customHeight="1" x14ac:dyDescent="0.2">
      <c r="A872" s="78"/>
      <c r="B872" s="78"/>
      <c r="C872" s="78"/>
      <c r="D872" s="78"/>
      <c r="E872" s="78"/>
      <c r="F872" s="78"/>
      <c r="G872" s="78"/>
      <c r="H872" s="78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  <c r="Y872" s="78"/>
      <c r="Z872" s="78"/>
    </row>
    <row r="873" spans="1:26" ht="12.75" customHeight="1" x14ac:dyDescent="0.2">
      <c r="A873" s="78"/>
      <c r="B873" s="78"/>
      <c r="C873" s="78"/>
      <c r="D873" s="78"/>
      <c r="E873" s="78"/>
      <c r="F873" s="78"/>
      <c r="G873" s="78"/>
      <c r="H873" s="78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  <c r="Y873" s="78"/>
      <c r="Z873" s="78"/>
    </row>
    <row r="874" spans="1:26" ht="12.75" customHeight="1" x14ac:dyDescent="0.2">
      <c r="A874" s="78"/>
      <c r="B874" s="78"/>
      <c r="C874" s="78"/>
      <c r="D874" s="78"/>
      <c r="E874" s="78"/>
      <c r="F874" s="78"/>
      <c r="G874" s="78"/>
      <c r="H874" s="78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  <c r="Y874" s="78"/>
      <c r="Z874" s="78"/>
    </row>
    <row r="875" spans="1:26" ht="12.75" customHeight="1" x14ac:dyDescent="0.2">
      <c r="A875" s="78"/>
      <c r="B875" s="78"/>
      <c r="C875" s="78"/>
      <c r="D875" s="78"/>
      <c r="E875" s="78"/>
      <c r="F875" s="78"/>
      <c r="G875" s="78"/>
      <c r="H875" s="78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  <c r="Y875" s="78"/>
      <c r="Z875" s="78"/>
    </row>
    <row r="876" spans="1:26" ht="12.75" customHeight="1" x14ac:dyDescent="0.2">
      <c r="A876" s="78"/>
      <c r="B876" s="78"/>
      <c r="C876" s="78"/>
      <c r="D876" s="78"/>
      <c r="E876" s="78"/>
      <c r="F876" s="78"/>
      <c r="G876" s="78"/>
      <c r="H876" s="78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  <c r="Y876" s="78"/>
      <c r="Z876" s="78"/>
    </row>
    <row r="877" spans="1:26" ht="12.75" customHeight="1" x14ac:dyDescent="0.2">
      <c r="A877" s="78"/>
      <c r="B877" s="78"/>
      <c r="C877" s="78"/>
      <c r="D877" s="78"/>
      <c r="E877" s="78"/>
      <c r="F877" s="78"/>
      <c r="G877" s="78"/>
      <c r="H877" s="78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  <c r="Y877" s="78"/>
      <c r="Z877" s="78"/>
    </row>
    <row r="878" spans="1:26" ht="12.75" customHeight="1" x14ac:dyDescent="0.2">
      <c r="A878" s="78"/>
      <c r="B878" s="78"/>
      <c r="C878" s="78"/>
      <c r="D878" s="78"/>
      <c r="E878" s="78"/>
      <c r="F878" s="78"/>
      <c r="G878" s="78"/>
      <c r="H878" s="78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  <c r="Y878" s="78"/>
      <c r="Z878" s="78"/>
    </row>
    <row r="879" spans="1:26" ht="12.75" customHeight="1" x14ac:dyDescent="0.2">
      <c r="A879" s="78"/>
      <c r="B879" s="78"/>
      <c r="C879" s="78"/>
      <c r="D879" s="78"/>
      <c r="E879" s="78"/>
      <c r="F879" s="78"/>
      <c r="G879" s="78"/>
      <c r="H879" s="78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  <c r="Y879" s="78"/>
      <c r="Z879" s="78"/>
    </row>
    <row r="880" spans="1:26" ht="12.75" customHeight="1" x14ac:dyDescent="0.2">
      <c r="A880" s="78"/>
      <c r="B880" s="78"/>
      <c r="C880" s="78"/>
      <c r="D880" s="78"/>
      <c r="E880" s="78"/>
      <c r="F880" s="78"/>
      <c r="G880" s="78"/>
      <c r="H880" s="78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  <c r="Y880" s="78"/>
      <c r="Z880" s="78"/>
    </row>
    <row r="881" spans="1:26" ht="12.75" customHeight="1" x14ac:dyDescent="0.2">
      <c r="A881" s="78"/>
      <c r="B881" s="78"/>
      <c r="C881" s="78"/>
      <c r="D881" s="78"/>
      <c r="E881" s="78"/>
      <c r="F881" s="78"/>
      <c r="G881" s="78"/>
      <c r="H881" s="78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  <c r="Y881" s="78"/>
      <c r="Z881" s="78"/>
    </row>
    <row r="882" spans="1:26" ht="12.75" customHeight="1" x14ac:dyDescent="0.2">
      <c r="A882" s="78"/>
      <c r="B882" s="78"/>
      <c r="C882" s="78"/>
      <c r="D882" s="78"/>
      <c r="E882" s="78"/>
      <c r="F882" s="78"/>
      <c r="G882" s="78"/>
      <c r="H882" s="78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  <c r="Y882" s="78"/>
      <c r="Z882" s="78"/>
    </row>
    <row r="883" spans="1:26" ht="12.75" customHeight="1" x14ac:dyDescent="0.2">
      <c r="A883" s="78"/>
      <c r="B883" s="78"/>
      <c r="C883" s="78"/>
      <c r="D883" s="78"/>
      <c r="E883" s="78"/>
      <c r="F883" s="78"/>
      <c r="G883" s="78"/>
      <c r="H883" s="78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  <c r="Z883" s="78"/>
    </row>
    <row r="884" spans="1:26" ht="12.75" customHeight="1" x14ac:dyDescent="0.2">
      <c r="A884" s="78"/>
      <c r="B884" s="78"/>
      <c r="C884" s="78"/>
      <c r="D884" s="78"/>
      <c r="E884" s="78"/>
      <c r="F884" s="78"/>
      <c r="G884" s="78"/>
      <c r="H884" s="78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  <c r="Y884" s="78"/>
      <c r="Z884" s="78"/>
    </row>
    <row r="885" spans="1:26" ht="12.75" customHeight="1" x14ac:dyDescent="0.2">
      <c r="A885" s="78"/>
      <c r="B885" s="78"/>
      <c r="C885" s="78"/>
      <c r="D885" s="78"/>
      <c r="E885" s="78"/>
      <c r="F885" s="78"/>
      <c r="G885" s="78"/>
      <c r="H885" s="78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  <c r="Y885" s="78"/>
      <c r="Z885" s="78"/>
    </row>
    <row r="886" spans="1:26" ht="12.75" customHeight="1" x14ac:dyDescent="0.2">
      <c r="A886" s="78"/>
      <c r="B886" s="78"/>
      <c r="C886" s="78"/>
      <c r="D886" s="78"/>
      <c r="E886" s="78"/>
      <c r="F886" s="78"/>
      <c r="G886" s="78"/>
      <c r="H886" s="78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  <c r="Y886" s="78"/>
      <c r="Z886" s="78"/>
    </row>
    <row r="887" spans="1:26" ht="12.75" customHeight="1" x14ac:dyDescent="0.2">
      <c r="A887" s="78"/>
      <c r="B887" s="78"/>
      <c r="C887" s="78"/>
      <c r="D887" s="78"/>
      <c r="E887" s="78"/>
      <c r="F887" s="78"/>
      <c r="G887" s="78"/>
      <c r="H887" s="78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  <c r="Y887" s="78"/>
      <c r="Z887" s="78"/>
    </row>
    <row r="888" spans="1:26" ht="12.75" customHeight="1" x14ac:dyDescent="0.2">
      <c r="A888" s="78"/>
      <c r="B888" s="78"/>
      <c r="C888" s="78"/>
      <c r="D888" s="78"/>
      <c r="E888" s="78"/>
      <c r="F888" s="78"/>
      <c r="G888" s="78"/>
      <c r="H888" s="78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  <c r="Y888" s="78"/>
      <c r="Z888" s="78"/>
    </row>
    <row r="889" spans="1:26" ht="12.75" customHeight="1" x14ac:dyDescent="0.2">
      <c r="A889" s="78"/>
      <c r="B889" s="78"/>
      <c r="C889" s="78"/>
      <c r="D889" s="78"/>
      <c r="E889" s="78"/>
      <c r="F889" s="78"/>
      <c r="G889" s="78"/>
      <c r="H889" s="78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  <c r="Y889" s="78"/>
      <c r="Z889" s="78"/>
    </row>
    <row r="890" spans="1:26" ht="12.75" customHeight="1" x14ac:dyDescent="0.2">
      <c r="A890" s="78"/>
      <c r="B890" s="78"/>
      <c r="C890" s="78"/>
      <c r="D890" s="78"/>
      <c r="E890" s="78"/>
      <c r="F890" s="78"/>
      <c r="G890" s="78"/>
      <c r="H890" s="78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  <c r="Y890" s="78"/>
      <c r="Z890" s="78"/>
    </row>
    <row r="891" spans="1:26" ht="12.75" customHeight="1" x14ac:dyDescent="0.2">
      <c r="A891" s="78"/>
      <c r="B891" s="78"/>
      <c r="C891" s="78"/>
      <c r="D891" s="78"/>
      <c r="E891" s="78"/>
      <c r="F891" s="78"/>
      <c r="G891" s="78"/>
      <c r="H891" s="78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  <c r="Y891" s="78"/>
      <c r="Z891" s="78"/>
    </row>
    <row r="892" spans="1:26" ht="12.75" customHeight="1" x14ac:dyDescent="0.2">
      <c r="A892" s="78"/>
      <c r="B892" s="78"/>
      <c r="C892" s="78"/>
      <c r="D892" s="78"/>
      <c r="E892" s="78"/>
      <c r="F892" s="78"/>
      <c r="G892" s="78"/>
      <c r="H892" s="78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  <c r="Y892" s="78"/>
      <c r="Z892" s="78"/>
    </row>
    <row r="893" spans="1:26" ht="12.75" customHeight="1" x14ac:dyDescent="0.2">
      <c r="A893" s="78"/>
      <c r="B893" s="78"/>
      <c r="C893" s="78"/>
      <c r="D893" s="78"/>
      <c r="E893" s="78"/>
      <c r="F893" s="78"/>
      <c r="G893" s="78"/>
      <c r="H893" s="78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  <c r="Y893" s="78"/>
      <c r="Z893" s="78"/>
    </row>
    <row r="894" spans="1:26" ht="12.75" customHeight="1" x14ac:dyDescent="0.2">
      <c r="A894" s="78"/>
      <c r="B894" s="78"/>
      <c r="C894" s="78"/>
      <c r="D894" s="78"/>
      <c r="E894" s="78"/>
      <c r="F894" s="78"/>
      <c r="G894" s="78"/>
      <c r="H894" s="78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  <c r="Y894" s="78"/>
      <c r="Z894" s="78"/>
    </row>
    <row r="895" spans="1:26" ht="12.75" customHeight="1" x14ac:dyDescent="0.2">
      <c r="A895" s="78"/>
      <c r="B895" s="78"/>
      <c r="C895" s="78"/>
      <c r="D895" s="78"/>
      <c r="E895" s="78"/>
      <c r="F895" s="78"/>
      <c r="G895" s="78"/>
      <c r="H895" s="78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  <c r="Y895" s="78"/>
      <c r="Z895" s="78"/>
    </row>
    <row r="896" spans="1:26" ht="12.75" customHeight="1" x14ac:dyDescent="0.2">
      <c r="A896" s="78"/>
      <c r="B896" s="78"/>
      <c r="C896" s="78"/>
      <c r="D896" s="78"/>
      <c r="E896" s="78"/>
      <c r="F896" s="78"/>
      <c r="G896" s="78"/>
      <c r="H896" s="78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  <c r="Y896" s="78"/>
      <c r="Z896" s="78"/>
    </row>
    <row r="897" spans="1:26" ht="12.75" customHeight="1" x14ac:dyDescent="0.2">
      <c r="A897" s="78"/>
      <c r="B897" s="78"/>
      <c r="C897" s="78"/>
      <c r="D897" s="78"/>
      <c r="E897" s="78"/>
      <c r="F897" s="78"/>
      <c r="G897" s="78"/>
      <c r="H897" s="78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  <c r="Y897" s="78"/>
      <c r="Z897" s="78"/>
    </row>
    <row r="898" spans="1:26" ht="12.75" customHeight="1" x14ac:dyDescent="0.2">
      <c r="A898" s="78"/>
      <c r="B898" s="78"/>
      <c r="C898" s="78"/>
      <c r="D898" s="78"/>
      <c r="E898" s="78"/>
      <c r="F898" s="78"/>
      <c r="G898" s="78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  <c r="Y898" s="78"/>
      <c r="Z898" s="78"/>
    </row>
    <row r="899" spans="1:26" ht="12.75" customHeight="1" x14ac:dyDescent="0.2">
      <c r="A899" s="78"/>
      <c r="B899" s="78"/>
      <c r="C899" s="78"/>
      <c r="D899" s="78"/>
      <c r="E899" s="78"/>
      <c r="F899" s="78"/>
      <c r="G899" s="78"/>
      <c r="H899" s="78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  <c r="Y899" s="78"/>
      <c r="Z899" s="78"/>
    </row>
    <row r="900" spans="1:26" ht="12.75" customHeight="1" x14ac:dyDescent="0.2">
      <c r="A900" s="78"/>
      <c r="B900" s="78"/>
      <c r="C900" s="78"/>
      <c r="D900" s="78"/>
      <c r="E900" s="78"/>
      <c r="F900" s="78"/>
      <c r="G900" s="78"/>
      <c r="H900" s="78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  <c r="Y900" s="78"/>
      <c r="Z900" s="78"/>
    </row>
    <row r="901" spans="1:26" ht="12.75" customHeight="1" x14ac:dyDescent="0.2">
      <c r="A901" s="78"/>
      <c r="B901" s="78"/>
      <c r="C901" s="78"/>
      <c r="D901" s="78"/>
      <c r="E901" s="78"/>
      <c r="F901" s="78"/>
      <c r="G901" s="78"/>
      <c r="H901" s="78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  <c r="Y901" s="78"/>
      <c r="Z901" s="78"/>
    </row>
    <row r="902" spans="1:26" ht="12.75" customHeight="1" x14ac:dyDescent="0.2">
      <c r="A902" s="78"/>
      <c r="B902" s="78"/>
      <c r="C902" s="78"/>
      <c r="D902" s="78"/>
      <c r="E902" s="78"/>
      <c r="F902" s="78"/>
      <c r="G902" s="78"/>
      <c r="H902" s="78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  <c r="Y902" s="78"/>
      <c r="Z902" s="78"/>
    </row>
    <row r="903" spans="1:26" ht="12.75" customHeight="1" x14ac:dyDescent="0.2">
      <c r="A903" s="78"/>
      <c r="B903" s="78"/>
      <c r="C903" s="78"/>
      <c r="D903" s="78"/>
      <c r="E903" s="78"/>
      <c r="F903" s="78"/>
      <c r="G903" s="78"/>
      <c r="H903" s="78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  <c r="Y903" s="78"/>
      <c r="Z903" s="78"/>
    </row>
    <row r="904" spans="1:26" ht="12.75" customHeight="1" x14ac:dyDescent="0.2">
      <c r="A904" s="78"/>
      <c r="B904" s="78"/>
      <c r="C904" s="78"/>
      <c r="D904" s="78"/>
      <c r="E904" s="78"/>
      <c r="F904" s="78"/>
      <c r="G904" s="78"/>
      <c r="H904" s="78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  <c r="Y904" s="78"/>
      <c r="Z904" s="78"/>
    </row>
    <row r="905" spans="1:26" ht="12.75" customHeight="1" x14ac:dyDescent="0.2">
      <c r="A905" s="78"/>
      <c r="B905" s="78"/>
      <c r="C905" s="78"/>
      <c r="D905" s="78"/>
      <c r="E905" s="78"/>
      <c r="F905" s="78"/>
      <c r="G905" s="78"/>
      <c r="H905" s="78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  <c r="Y905" s="78"/>
      <c r="Z905" s="78"/>
    </row>
    <row r="906" spans="1:26" ht="12.75" customHeight="1" x14ac:dyDescent="0.2">
      <c r="A906" s="78"/>
      <c r="B906" s="78"/>
      <c r="C906" s="78"/>
      <c r="D906" s="78"/>
      <c r="E906" s="78"/>
      <c r="F906" s="78"/>
      <c r="G906" s="78"/>
      <c r="H906" s="78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8"/>
      <c r="Z906" s="78"/>
    </row>
    <row r="907" spans="1:26" ht="12.75" customHeight="1" x14ac:dyDescent="0.2">
      <c r="A907" s="78"/>
      <c r="B907" s="78"/>
      <c r="C907" s="78"/>
      <c r="D907" s="78"/>
      <c r="E907" s="78"/>
      <c r="F907" s="78"/>
      <c r="G907" s="78"/>
      <c r="H907" s="78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  <c r="Y907" s="78"/>
      <c r="Z907" s="78"/>
    </row>
    <row r="908" spans="1:26" ht="12.75" customHeight="1" x14ac:dyDescent="0.2">
      <c r="A908" s="78"/>
      <c r="B908" s="78"/>
      <c r="C908" s="78"/>
      <c r="D908" s="78"/>
      <c r="E908" s="78"/>
      <c r="F908" s="78"/>
      <c r="G908" s="78"/>
      <c r="H908" s="78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  <c r="Y908" s="78"/>
      <c r="Z908" s="78"/>
    </row>
    <row r="909" spans="1:26" ht="12.75" customHeight="1" x14ac:dyDescent="0.2">
      <c r="A909" s="78"/>
      <c r="B909" s="78"/>
      <c r="C909" s="78"/>
      <c r="D909" s="78"/>
      <c r="E909" s="78"/>
      <c r="F909" s="78"/>
      <c r="G909" s="78"/>
      <c r="H909" s="78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  <c r="Y909" s="78"/>
      <c r="Z909" s="78"/>
    </row>
    <row r="910" spans="1:26" ht="12.75" customHeight="1" x14ac:dyDescent="0.2">
      <c r="A910" s="78"/>
      <c r="B910" s="78"/>
      <c r="C910" s="78"/>
      <c r="D910" s="78"/>
      <c r="E910" s="78"/>
      <c r="F910" s="78"/>
      <c r="G910" s="78"/>
      <c r="H910" s="78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  <c r="Y910" s="78"/>
      <c r="Z910" s="78"/>
    </row>
    <row r="911" spans="1:26" ht="12.75" customHeight="1" x14ac:dyDescent="0.2">
      <c r="A911" s="78"/>
      <c r="B911" s="78"/>
      <c r="C911" s="78"/>
      <c r="D911" s="78"/>
      <c r="E911" s="78"/>
      <c r="F911" s="78"/>
      <c r="G911" s="78"/>
      <c r="H911" s="78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  <c r="Y911" s="78"/>
      <c r="Z911" s="78"/>
    </row>
    <row r="912" spans="1:26" ht="12.75" customHeight="1" x14ac:dyDescent="0.2">
      <c r="A912" s="78"/>
      <c r="B912" s="78"/>
      <c r="C912" s="78"/>
      <c r="D912" s="78"/>
      <c r="E912" s="78"/>
      <c r="F912" s="78"/>
      <c r="G912" s="78"/>
      <c r="H912" s="78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  <c r="Y912" s="78"/>
      <c r="Z912" s="78"/>
    </row>
    <row r="913" spans="1:26" ht="12.75" customHeight="1" x14ac:dyDescent="0.2">
      <c r="A913" s="78"/>
      <c r="B913" s="78"/>
      <c r="C913" s="78"/>
      <c r="D913" s="78"/>
      <c r="E913" s="78"/>
      <c r="F913" s="78"/>
      <c r="G913" s="78"/>
      <c r="H913" s="78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  <c r="Y913" s="78"/>
      <c r="Z913" s="78"/>
    </row>
    <row r="914" spans="1:26" ht="12.75" customHeight="1" x14ac:dyDescent="0.2">
      <c r="A914" s="78"/>
      <c r="B914" s="78"/>
      <c r="C914" s="78"/>
      <c r="D914" s="78"/>
      <c r="E914" s="78"/>
      <c r="F914" s="78"/>
      <c r="G914" s="78"/>
      <c r="H914" s="78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  <c r="X914" s="78"/>
      <c r="Y914" s="78"/>
      <c r="Z914" s="78"/>
    </row>
    <row r="915" spans="1:26" ht="12.75" customHeight="1" x14ac:dyDescent="0.2">
      <c r="A915" s="78"/>
      <c r="B915" s="78"/>
      <c r="C915" s="78"/>
      <c r="D915" s="78"/>
      <c r="E915" s="78"/>
      <c r="F915" s="78"/>
      <c r="G915" s="78"/>
      <c r="H915" s="78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  <c r="Y915" s="78"/>
      <c r="Z915" s="78"/>
    </row>
    <row r="916" spans="1:26" ht="12.75" customHeight="1" x14ac:dyDescent="0.2">
      <c r="A916" s="78"/>
      <c r="B916" s="78"/>
      <c r="C916" s="78"/>
      <c r="D916" s="78"/>
      <c r="E916" s="78"/>
      <c r="F916" s="78"/>
      <c r="G916" s="78"/>
      <c r="H916" s="78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  <c r="Y916" s="78"/>
      <c r="Z916" s="78"/>
    </row>
    <row r="917" spans="1:26" ht="12.75" customHeight="1" x14ac:dyDescent="0.2">
      <c r="A917" s="78"/>
      <c r="B917" s="78"/>
      <c r="C917" s="78"/>
      <c r="D917" s="78"/>
      <c r="E917" s="78"/>
      <c r="F917" s="78"/>
      <c r="G917" s="78"/>
      <c r="H917" s="78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8"/>
      <c r="Z917" s="78"/>
    </row>
    <row r="918" spans="1:26" ht="12.75" customHeight="1" x14ac:dyDescent="0.2">
      <c r="A918" s="78"/>
      <c r="B918" s="78"/>
      <c r="C918" s="78"/>
      <c r="D918" s="78"/>
      <c r="E918" s="78"/>
      <c r="F918" s="78"/>
      <c r="G918" s="78"/>
      <c r="H918" s="78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  <c r="Y918" s="78"/>
      <c r="Z918" s="78"/>
    </row>
    <row r="919" spans="1:26" ht="12.75" customHeight="1" x14ac:dyDescent="0.2">
      <c r="A919" s="78"/>
      <c r="B919" s="78"/>
      <c r="C919" s="78"/>
      <c r="D919" s="78"/>
      <c r="E919" s="78"/>
      <c r="F919" s="78"/>
      <c r="G919" s="78"/>
      <c r="H919" s="78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  <c r="Y919" s="78"/>
      <c r="Z919" s="78"/>
    </row>
    <row r="920" spans="1:26" ht="12.75" customHeight="1" x14ac:dyDescent="0.2">
      <c r="A920" s="78"/>
      <c r="B920" s="78"/>
      <c r="C920" s="78"/>
      <c r="D920" s="78"/>
      <c r="E920" s="78"/>
      <c r="F920" s="78"/>
      <c r="G920" s="78"/>
      <c r="H920" s="78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  <c r="Y920" s="78"/>
      <c r="Z920" s="78"/>
    </row>
    <row r="921" spans="1:26" ht="12.75" customHeight="1" x14ac:dyDescent="0.2">
      <c r="A921" s="78"/>
      <c r="B921" s="78"/>
      <c r="C921" s="78"/>
      <c r="D921" s="78"/>
      <c r="E921" s="78"/>
      <c r="F921" s="78"/>
      <c r="G921" s="78"/>
      <c r="H921" s="78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  <c r="Y921" s="78"/>
      <c r="Z921" s="78"/>
    </row>
    <row r="922" spans="1:26" ht="12.75" customHeight="1" x14ac:dyDescent="0.2">
      <c r="A922" s="78"/>
      <c r="B922" s="78"/>
      <c r="C922" s="78"/>
      <c r="D922" s="78"/>
      <c r="E922" s="78"/>
      <c r="F922" s="78"/>
      <c r="G922" s="78"/>
      <c r="H922" s="78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8"/>
      <c r="Z922" s="78"/>
    </row>
    <row r="923" spans="1:26" ht="12.75" customHeight="1" x14ac:dyDescent="0.2">
      <c r="A923" s="78"/>
      <c r="B923" s="78"/>
      <c r="C923" s="78"/>
      <c r="D923" s="78"/>
      <c r="E923" s="78"/>
      <c r="F923" s="78"/>
      <c r="G923" s="78"/>
      <c r="H923" s="78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  <c r="Z923" s="78"/>
    </row>
    <row r="924" spans="1:26" ht="12.75" customHeight="1" x14ac:dyDescent="0.2">
      <c r="A924" s="78"/>
      <c r="B924" s="78"/>
      <c r="C924" s="78"/>
      <c r="D924" s="78"/>
      <c r="E924" s="78"/>
      <c r="F924" s="78"/>
      <c r="G924" s="78"/>
      <c r="H924" s="78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  <c r="Y924" s="78"/>
      <c r="Z924" s="78"/>
    </row>
    <row r="925" spans="1:26" ht="12.75" customHeight="1" x14ac:dyDescent="0.2">
      <c r="A925" s="78"/>
      <c r="B925" s="78"/>
      <c r="C925" s="78"/>
      <c r="D925" s="78"/>
      <c r="E925" s="78"/>
      <c r="F925" s="78"/>
      <c r="G925" s="78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  <c r="Z925" s="78"/>
    </row>
    <row r="926" spans="1:26" ht="12.75" customHeight="1" x14ac:dyDescent="0.2">
      <c r="A926" s="78"/>
      <c r="B926" s="78"/>
      <c r="C926" s="78"/>
      <c r="D926" s="78"/>
      <c r="E926" s="78"/>
      <c r="F926" s="78"/>
      <c r="G926" s="78"/>
      <c r="H926" s="78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8"/>
      <c r="Z926" s="78"/>
    </row>
    <row r="927" spans="1:26" ht="12.75" customHeight="1" x14ac:dyDescent="0.2">
      <c r="A927" s="78"/>
      <c r="B927" s="78"/>
      <c r="C927" s="78"/>
      <c r="D927" s="78"/>
      <c r="E927" s="78"/>
      <c r="F927" s="78"/>
      <c r="G927" s="78"/>
      <c r="H927" s="78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  <c r="Y927" s="78"/>
      <c r="Z927" s="78"/>
    </row>
    <row r="928" spans="1:26" ht="12.75" customHeight="1" x14ac:dyDescent="0.2">
      <c r="A928" s="78"/>
      <c r="B928" s="78"/>
      <c r="C928" s="78"/>
      <c r="D928" s="78"/>
      <c r="E928" s="78"/>
      <c r="F928" s="78"/>
      <c r="G928" s="78"/>
      <c r="H928" s="78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  <c r="Y928" s="78"/>
      <c r="Z928" s="78"/>
    </row>
    <row r="929" spans="1:26" ht="12.75" customHeight="1" x14ac:dyDescent="0.2">
      <c r="A929" s="78"/>
      <c r="B929" s="78"/>
      <c r="C929" s="78"/>
      <c r="D929" s="78"/>
      <c r="E929" s="78"/>
      <c r="F929" s="78"/>
      <c r="G929" s="78"/>
      <c r="H929" s="78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  <c r="Y929" s="78"/>
      <c r="Z929" s="78"/>
    </row>
    <row r="930" spans="1:26" ht="12.75" customHeight="1" x14ac:dyDescent="0.2">
      <c r="A930" s="78"/>
      <c r="B930" s="78"/>
      <c r="C930" s="78"/>
      <c r="D930" s="78"/>
      <c r="E930" s="78"/>
      <c r="F930" s="78"/>
      <c r="G930" s="78"/>
      <c r="H930" s="78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  <c r="Y930" s="78"/>
      <c r="Z930" s="78"/>
    </row>
    <row r="931" spans="1:26" ht="12.75" customHeight="1" x14ac:dyDescent="0.2">
      <c r="A931" s="78"/>
      <c r="B931" s="78"/>
      <c r="C931" s="78"/>
      <c r="D931" s="78"/>
      <c r="E931" s="78"/>
      <c r="F931" s="78"/>
      <c r="G931" s="78"/>
      <c r="H931" s="78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  <c r="Y931" s="78"/>
      <c r="Z931" s="78"/>
    </row>
    <row r="932" spans="1:26" ht="12.75" customHeight="1" x14ac:dyDescent="0.2">
      <c r="A932" s="78"/>
      <c r="B932" s="78"/>
      <c r="C932" s="78"/>
      <c r="D932" s="78"/>
      <c r="E932" s="78"/>
      <c r="F932" s="78"/>
      <c r="G932" s="78"/>
      <c r="H932" s="78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  <c r="Y932" s="78"/>
      <c r="Z932" s="78"/>
    </row>
    <row r="933" spans="1:26" ht="12.75" customHeight="1" x14ac:dyDescent="0.2">
      <c r="A933" s="78"/>
      <c r="B933" s="78"/>
      <c r="C933" s="78"/>
      <c r="D933" s="78"/>
      <c r="E933" s="78"/>
      <c r="F933" s="78"/>
      <c r="G933" s="78"/>
      <c r="H933" s="78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  <c r="Y933" s="78"/>
      <c r="Z933" s="78"/>
    </row>
    <row r="934" spans="1:26" ht="12.75" customHeight="1" x14ac:dyDescent="0.2">
      <c r="A934" s="78"/>
      <c r="B934" s="78"/>
      <c r="C934" s="78"/>
      <c r="D934" s="78"/>
      <c r="E934" s="78"/>
      <c r="F934" s="78"/>
      <c r="G934" s="78"/>
      <c r="H934" s="78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  <c r="Y934" s="78"/>
      <c r="Z934" s="78"/>
    </row>
    <row r="935" spans="1:26" ht="12.75" customHeight="1" x14ac:dyDescent="0.2">
      <c r="A935" s="78"/>
      <c r="B935" s="78"/>
      <c r="C935" s="78"/>
      <c r="D935" s="78"/>
      <c r="E935" s="78"/>
      <c r="F935" s="78"/>
      <c r="G935" s="78"/>
      <c r="H935" s="78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  <c r="Y935" s="78"/>
      <c r="Z935" s="78"/>
    </row>
    <row r="936" spans="1:26" ht="12.75" customHeight="1" x14ac:dyDescent="0.2">
      <c r="A936" s="78"/>
      <c r="B936" s="78"/>
      <c r="C936" s="78"/>
      <c r="D936" s="78"/>
      <c r="E936" s="78"/>
      <c r="F936" s="78"/>
      <c r="G936" s="78"/>
      <c r="H936" s="78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  <c r="Y936" s="78"/>
      <c r="Z936" s="78"/>
    </row>
    <row r="937" spans="1:26" ht="12.75" customHeight="1" x14ac:dyDescent="0.2">
      <c r="A937" s="78"/>
      <c r="B937" s="78"/>
      <c r="C937" s="78"/>
      <c r="D937" s="78"/>
      <c r="E937" s="78"/>
      <c r="F937" s="78"/>
      <c r="G937" s="78"/>
      <c r="H937" s="78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  <c r="Y937" s="78"/>
      <c r="Z937" s="78"/>
    </row>
    <row r="938" spans="1:26" ht="12.75" customHeight="1" x14ac:dyDescent="0.2">
      <c r="A938" s="78"/>
      <c r="B938" s="78"/>
      <c r="C938" s="78"/>
      <c r="D938" s="78"/>
      <c r="E938" s="78"/>
      <c r="F938" s="78"/>
      <c r="G938" s="78"/>
      <c r="H938" s="78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  <c r="Y938" s="78"/>
      <c r="Z938" s="78"/>
    </row>
    <row r="939" spans="1:26" ht="12.75" customHeight="1" x14ac:dyDescent="0.2">
      <c r="A939" s="78"/>
      <c r="B939" s="78"/>
      <c r="C939" s="78"/>
      <c r="D939" s="78"/>
      <c r="E939" s="78"/>
      <c r="F939" s="78"/>
      <c r="G939" s="78"/>
      <c r="H939" s="78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  <c r="Y939" s="78"/>
      <c r="Z939" s="78"/>
    </row>
    <row r="940" spans="1:26" ht="12.75" customHeight="1" x14ac:dyDescent="0.2">
      <c r="A940" s="78"/>
      <c r="B940" s="78"/>
      <c r="C940" s="78"/>
      <c r="D940" s="78"/>
      <c r="E940" s="78"/>
      <c r="F940" s="78"/>
      <c r="G940" s="78"/>
      <c r="H940" s="78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  <c r="Y940" s="78"/>
      <c r="Z940" s="78"/>
    </row>
    <row r="941" spans="1:26" ht="12.75" customHeight="1" x14ac:dyDescent="0.2">
      <c r="A941" s="78"/>
      <c r="B941" s="78"/>
      <c r="C941" s="78"/>
      <c r="D941" s="78"/>
      <c r="E941" s="78"/>
      <c r="F941" s="78"/>
      <c r="G941" s="78"/>
      <c r="H941" s="78"/>
      <c r="I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  <c r="W941" s="78"/>
      <c r="X941" s="78"/>
      <c r="Y941" s="78"/>
      <c r="Z941" s="78"/>
    </row>
    <row r="942" spans="1:26" ht="12.75" customHeight="1" x14ac:dyDescent="0.2">
      <c r="A942" s="78"/>
      <c r="B942" s="78"/>
      <c r="C942" s="78"/>
      <c r="D942" s="78"/>
      <c r="E942" s="78"/>
      <c r="F942" s="78"/>
      <c r="G942" s="78"/>
      <c r="H942" s="78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  <c r="Y942" s="78"/>
      <c r="Z942" s="78"/>
    </row>
    <row r="943" spans="1:26" ht="12.75" customHeight="1" x14ac:dyDescent="0.2">
      <c r="A943" s="78"/>
      <c r="B943" s="78"/>
      <c r="C943" s="78"/>
      <c r="D943" s="78"/>
      <c r="E943" s="78"/>
      <c r="F943" s="78"/>
      <c r="G943" s="78"/>
      <c r="H943" s="78"/>
      <c r="I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  <c r="W943" s="78"/>
      <c r="X943" s="78"/>
      <c r="Y943" s="78"/>
      <c r="Z943" s="78"/>
    </row>
    <row r="944" spans="1:26" ht="12.75" customHeight="1" x14ac:dyDescent="0.2">
      <c r="A944" s="78"/>
      <c r="B944" s="78"/>
      <c r="C944" s="78"/>
      <c r="D944" s="78"/>
      <c r="E944" s="78"/>
      <c r="F944" s="78"/>
      <c r="G944" s="78"/>
      <c r="H944" s="78"/>
      <c r="I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  <c r="W944" s="78"/>
      <c r="X944" s="78"/>
      <c r="Y944" s="78"/>
      <c r="Z944" s="78"/>
    </row>
    <row r="945" spans="1:26" ht="12.75" customHeight="1" x14ac:dyDescent="0.2">
      <c r="A945" s="78"/>
      <c r="B945" s="78"/>
      <c r="C945" s="78"/>
      <c r="D945" s="78"/>
      <c r="E945" s="78"/>
      <c r="F945" s="78"/>
      <c r="G945" s="78"/>
      <c r="H945" s="78"/>
      <c r="I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  <c r="W945" s="78"/>
      <c r="X945" s="78"/>
      <c r="Y945" s="78"/>
      <c r="Z945" s="78"/>
    </row>
    <row r="946" spans="1:26" ht="12.75" customHeight="1" x14ac:dyDescent="0.2">
      <c r="A946" s="78"/>
      <c r="B946" s="78"/>
      <c r="C946" s="78"/>
      <c r="D946" s="78"/>
      <c r="E946" s="78"/>
      <c r="F946" s="78"/>
      <c r="G946" s="78"/>
      <c r="H946" s="78"/>
      <c r="I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  <c r="W946" s="78"/>
      <c r="X946" s="78"/>
      <c r="Y946" s="78"/>
      <c r="Z946" s="78"/>
    </row>
    <row r="947" spans="1:26" ht="12.75" customHeight="1" x14ac:dyDescent="0.2">
      <c r="A947" s="78"/>
      <c r="B947" s="78"/>
      <c r="C947" s="78"/>
      <c r="D947" s="78"/>
      <c r="E947" s="78"/>
      <c r="F947" s="78"/>
      <c r="G947" s="78"/>
      <c r="H947" s="78"/>
      <c r="I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  <c r="W947" s="78"/>
      <c r="X947" s="78"/>
      <c r="Y947" s="78"/>
      <c r="Z947" s="78"/>
    </row>
    <row r="948" spans="1:26" ht="12.75" customHeight="1" x14ac:dyDescent="0.2">
      <c r="A948" s="78"/>
      <c r="B948" s="78"/>
      <c r="C948" s="78"/>
      <c r="D948" s="78"/>
      <c r="E948" s="78"/>
      <c r="F948" s="78"/>
      <c r="G948" s="78"/>
      <c r="H948" s="78"/>
      <c r="I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  <c r="W948" s="78"/>
      <c r="X948" s="78"/>
      <c r="Y948" s="78"/>
      <c r="Z948" s="78"/>
    </row>
    <row r="949" spans="1:26" ht="12.75" customHeight="1" x14ac:dyDescent="0.2">
      <c r="A949" s="78"/>
      <c r="B949" s="78"/>
      <c r="C949" s="78"/>
      <c r="D949" s="78"/>
      <c r="E949" s="78"/>
      <c r="F949" s="78"/>
      <c r="G949" s="78"/>
      <c r="H949" s="78"/>
      <c r="I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  <c r="W949" s="78"/>
      <c r="X949" s="78"/>
      <c r="Y949" s="78"/>
      <c r="Z949" s="78"/>
    </row>
    <row r="950" spans="1:26" ht="12.75" customHeight="1" x14ac:dyDescent="0.2">
      <c r="A950" s="78"/>
      <c r="B950" s="78"/>
      <c r="C950" s="78"/>
      <c r="D950" s="78"/>
      <c r="E950" s="78"/>
      <c r="F950" s="78"/>
      <c r="G950" s="78"/>
      <c r="H950" s="78"/>
      <c r="I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  <c r="Y950" s="78"/>
      <c r="Z950" s="78"/>
    </row>
    <row r="951" spans="1:26" ht="12.75" customHeight="1" x14ac:dyDescent="0.2">
      <c r="A951" s="78"/>
      <c r="B951" s="78"/>
      <c r="C951" s="78"/>
      <c r="D951" s="78"/>
      <c r="E951" s="78"/>
      <c r="F951" s="78"/>
      <c r="G951" s="78"/>
      <c r="H951" s="78"/>
      <c r="I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  <c r="Y951" s="78"/>
      <c r="Z951" s="78"/>
    </row>
    <row r="952" spans="1:26" ht="12.75" customHeight="1" x14ac:dyDescent="0.2">
      <c r="A952" s="78"/>
      <c r="B952" s="78"/>
      <c r="C952" s="78"/>
      <c r="D952" s="78"/>
      <c r="E952" s="78"/>
      <c r="F952" s="78"/>
      <c r="G952" s="78"/>
      <c r="H952" s="78"/>
      <c r="I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  <c r="Y952" s="78"/>
      <c r="Z952" s="78"/>
    </row>
    <row r="953" spans="1:26" ht="12.75" customHeight="1" x14ac:dyDescent="0.2">
      <c r="A953" s="78"/>
      <c r="B953" s="78"/>
      <c r="C953" s="78"/>
      <c r="D953" s="78"/>
      <c r="E953" s="78"/>
      <c r="F953" s="78"/>
      <c r="G953" s="78"/>
      <c r="H953" s="78"/>
      <c r="I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8"/>
      <c r="Z953" s="78"/>
    </row>
    <row r="954" spans="1:26" ht="12.75" customHeight="1" x14ac:dyDescent="0.2">
      <c r="A954" s="78"/>
      <c r="B954" s="78"/>
      <c r="C954" s="78"/>
      <c r="D954" s="78"/>
      <c r="E954" s="78"/>
      <c r="F954" s="78"/>
      <c r="G954" s="78"/>
      <c r="H954" s="78"/>
      <c r="I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  <c r="Y954" s="78"/>
      <c r="Z954" s="78"/>
    </row>
    <row r="955" spans="1:26" ht="12.75" customHeight="1" x14ac:dyDescent="0.2">
      <c r="A955" s="78"/>
      <c r="B955" s="78"/>
      <c r="C955" s="78"/>
      <c r="D955" s="78"/>
      <c r="E955" s="78"/>
      <c r="F955" s="78"/>
      <c r="G955" s="78"/>
      <c r="H955" s="78"/>
      <c r="I955" s="78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8"/>
      <c r="Z955" s="78"/>
    </row>
    <row r="956" spans="1:26" ht="12.75" customHeight="1" x14ac:dyDescent="0.2">
      <c r="A956" s="78"/>
      <c r="B956" s="78"/>
      <c r="C956" s="78"/>
      <c r="D956" s="78"/>
      <c r="E956" s="78"/>
      <c r="F956" s="78"/>
      <c r="G956" s="78"/>
      <c r="H956" s="78"/>
      <c r="I956" s="78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8"/>
      <c r="X956" s="78"/>
      <c r="Y956" s="78"/>
      <c r="Z956" s="78"/>
    </row>
    <row r="957" spans="1:26" ht="12.75" customHeight="1" x14ac:dyDescent="0.2">
      <c r="A957" s="78"/>
      <c r="B957" s="78"/>
      <c r="C957" s="78"/>
      <c r="D957" s="78"/>
      <c r="E957" s="78"/>
      <c r="F957" s="78"/>
      <c r="G957" s="78"/>
      <c r="H957" s="78"/>
      <c r="I957" s="78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  <c r="W957" s="78"/>
      <c r="X957" s="78"/>
      <c r="Y957" s="78"/>
      <c r="Z957" s="78"/>
    </row>
    <row r="958" spans="1:26" ht="12.75" customHeight="1" x14ac:dyDescent="0.2">
      <c r="A958" s="78"/>
      <c r="B958" s="78"/>
      <c r="C958" s="78"/>
      <c r="D958" s="78"/>
      <c r="E958" s="78"/>
      <c r="F958" s="78"/>
      <c r="G958" s="78"/>
      <c r="H958" s="78"/>
      <c r="I958" s="78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  <c r="W958" s="78"/>
      <c r="X958" s="78"/>
      <c r="Y958" s="78"/>
      <c r="Z958" s="78"/>
    </row>
    <row r="959" spans="1:26" ht="12.75" customHeight="1" x14ac:dyDescent="0.2">
      <c r="A959" s="78"/>
      <c r="B959" s="78"/>
      <c r="C959" s="78"/>
      <c r="D959" s="78"/>
      <c r="E959" s="78"/>
      <c r="F959" s="78"/>
      <c r="G959" s="78"/>
      <c r="H959" s="78"/>
      <c r="I959" s="78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  <c r="W959" s="78"/>
      <c r="X959" s="78"/>
      <c r="Y959" s="78"/>
      <c r="Z959" s="78"/>
    </row>
    <row r="960" spans="1:26" ht="12.75" customHeight="1" x14ac:dyDescent="0.2">
      <c r="A960" s="78"/>
      <c r="B960" s="78"/>
      <c r="C960" s="78"/>
      <c r="D960" s="78"/>
      <c r="E960" s="78"/>
      <c r="F960" s="78"/>
      <c r="G960" s="78"/>
      <c r="H960" s="78"/>
      <c r="I960" s="78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/>
      <c r="W960" s="78"/>
      <c r="X960" s="78"/>
      <c r="Y960" s="78"/>
      <c r="Z960" s="78"/>
    </row>
    <row r="961" spans="1:26" ht="12.75" customHeight="1" x14ac:dyDescent="0.2">
      <c r="A961" s="78"/>
      <c r="B961" s="78"/>
      <c r="C961" s="78"/>
      <c r="D961" s="78"/>
      <c r="E961" s="78"/>
      <c r="F961" s="78"/>
      <c r="G961" s="78"/>
      <c r="H961" s="78"/>
      <c r="I961" s="78"/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8"/>
      <c r="W961" s="78"/>
      <c r="X961" s="78"/>
      <c r="Y961" s="78"/>
      <c r="Z961" s="78"/>
    </row>
    <row r="962" spans="1:26" ht="12.75" customHeight="1" x14ac:dyDescent="0.2">
      <c r="A962" s="78"/>
      <c r="B962" s="78"/>
      <c r="C962" s="78"/>
      <c r="D962" s="78"/>
      <c r="E962" s="78"/>
      <c r="F962" s="78"/>
      <c r="G962" s="78"/>
      <c r="H962" s="78"/>
      <c r="I962" s="78"/>
      <c r="J962" s="78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  <c r="V962" s="78"/>
      <c r="W962" s="78"/>
      <c r="X962" s="78"/>
      <c r="Y962" s="78"/>
      <c r="Z962" s="78"/>
    </row>
    <row r="963" spans="1:26" ht="12.75" customHeight="1" x14ac:dyDescent="0.2">
      <c r="A963" s="78"/>
      <c r="B963" s="78"/>
      <c r="C963" s="78"/>
      <c r="D963" s="78"/>
      <c r="E963" s="78"/>
      <c r="F963" s="78"/>
      <c r="G963" s="78"/>
      <c r="H963" s="78"/>
      <c r="I963" s="78"/>
      <c r="J963" s="78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  <c r="V963" s="78"/>
      <c r="W963" s="78"/>
      <c r="X963" s="78"/>
      <c r="Y963" s="78"/>
      <c r="Z963" s="78"/>
    </row>
    <row r="964" spans="1:26" ht="12.75" customHeight="1" x14ac:dyDescent="0.2">
      <c r="A964" s="78"/>
      <c r="B964" s="78"/>
      <c r="C964" s="78"/>
      <c r="D964" s="78"/>
      <c r="E964" s="78"/>
      <c r="F964" s="78"/>
      <c r="G964" s="78"/>
      <c r="H964" s="78"/>
      <c r="I964" s="78"/>
      <c r="J964" s="78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  <c r="V964" s="78"/>
      <c r="W964" s="78"/>
      <c r="X964" s="78"/>
      <c r="Y964" s="78"/>
      <c r="Z964" s="78"/>
    </row>
    <row r="965" spans="1:26" ht="12.75" customHeight="1" x14ac:dyDescent="0.2">
      <c r="A965" s="78"/>
      <c r="B965" s="78"/>
      <c r="C965" s="78"/>
      <c r="D965" s="78"/>
      <c r="E965" s="78"/>
      <c r="F965" s="78"/>
      <c r="G965" s="78"/>
      <c r="H965" s="78"/>
      <c r="I965" s="78"/>
      <c r="J965" s="78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  <c r="V965" s="78"/>
      <c r="W965" s="78"/>
      <c r="X965" s="78"/>
      <c r="Y965" s="78"/>
      <c r="Z965" s="78"/>
    </row>
    <row r="966" spans="1:26" ht="12.75" customHeight="1" x14ac:dyDescent="0.2">
      <c r="A966" s="78"/>
      <c r="B966" s="78"/>
      <c r="C966" s="78"/>
      <c r="D966" s="78"/>
      <c r="E966" s="78"/>
      <c r="F966" s="78"/>
      <c r="G966" s="78"/>
      <c r="H966" s="78"/>
      <c r="I966" s="78"/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  <c r="V966" s="78"/>
      <c r="W966" s="78"/>
      <c r="X966" s="78"/>
      <c r="Y966" s="78"/>
      <c r="Z966" s="78"/>
    </row>
    <row r="967" spans="1:26" ht="12.75" customHeight="1" x14ac:dyDescent="0.2">
      <c r="A967" s="78"/>
      <c r="B967" s="78"/>
      <c r="C967" s="78"/>
      <c r="D967" s="78"/>
      <c r="E967" s="78"/>
      <c r="F967" s="78"/>
      <c r="G967" s="78"/>
      <c r="H967" s="78"/>
      <c r="I967" s="78"/>
      <c r="J967" s="78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  <c r="V967" s="78"/>
      <c r="W967" s="78"/>
      <c r="X967" s="78"/>
      <c r="Y967" s="78"/>
      <c r="Z967" s="78"/>
    </row>
    <row r="968" spans="1:26" ht="12.75" customHeight="1" x14ac:dyDescent="0.2">
      <c r="A968" s="78"/>
      <c r="B968" s="78"/>
      <c r="C968" s="78"/>
      <c r="D968" s="78"/>
      <c r="E968" s="78"/>
      <c r="F968" s="78"/>
      <c r="G968" s="78"/>
      <c r="H968" s="78"/>
      <c r="I968" s="78"/>
      <c r="J968" s="78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  <c r="V968" s="78"/>
      <c r="W968" s="78"/>
      <c r="X968" s="78"/>
      <c r="Y968" s="78"/>
      <c r="Z968" s="78"/>
    </row>
    <row r="969" spans="1:26" ht="12.75" customHeight="1" x14ac:dyDescent="0.2">
      <c r="A969" s="78"/>
      <c r="B969" s="78"/>
      <c r="C969" s="78"/>
      <c r="D969" s="78"/>
      <c r="E969" s="78"/>
      <c r="F969" s="78"/>
      <c r="G969" s="78"/>
      <c r="H969" s="78"/>
      <c r="I969" s="78"/>
      <c r="J969" s="78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  <c r="V969" s="78"/>
      <c r="W969" s="78"/>
      <c r="X969" s="78"/>
      <c r="Y969" s="78"/>
      <c r="Z969" s="78"/>
    </row>
    <row r="970" spans="1:26" ht="12.75" customHeight="1" x14ac:dyDescent="0.2">
      <c r="A970" s="78"/>
      <c r="B970" s="78"/>
      <c r="C970" s="78"/>
      <c r="D970" s="78"/>
      <c r="E970" s="78"/>
      <c r="F970" s="78"/>
      <c r="G970" s="78"/>
      <c r="H970" s="78"/>
      <c r="I970" s="78"/>
      <c r="J970" s="78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  <c r="V970" s="78"/>
      <c r="W970" s="78"/>
      <c r="X970" s="78"/>
      <c r="Y970" s="78"/>
      <c r="Z970" s="78"/>
    </row>
    <row r="971" spans="1:26" ht="12.75" customHeight="1" x14ac:dyDescent="0.2">
      <c r="A971" s="78"/>
      <c r="B971" s="78"/>
      <c r="C971" s="78"/>
      <c r="D971" s="78"/>
      <c r="E971" s="78"/>
      <c r="F971" s="78"/>
      <c r="G971" s="78"/>
      <c r="H971" s="78"/>
      <c r="I971" s="78"/>
      <c r="J971" s="78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  <c r="V971" s="78"/>
      <c r="W971" s="78"/>
      <c r="X971" s="78"/>
      <c r="Y971" s="78"/>
      <c r="Z971" s="78"/>
    </row>
    <row r="972" spans="1:26" ht="12.75" customHeight="1" x14ac:dyDescent="0.2">
      <c r="A972" s="78"/>
      <c r="B972" s="78"/>
      <c r="C972" s="78"/>
      <c r="D972" s="78"/>
      <c r="E972" s="78"/>
      <c r="F972" s="78"/>
      <c r="G972" s="78"/>
      <c r="H972" s="78"/>
      <c r="I972" s="78"/>
      <c r="J972" s="78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  <c r="V972" s="78"/>
      <c r="W972" s="78"/>
      <c r="X972" s="78"/>
      <c r="Y972" s="78"/>
      <c r="Z972" s="78"/>
    </row>
    <row r="973" spans="1:26" ht="12.75" customHeight="1" x14ac:dyDescent="0.2">
      <c r="A973" s="78"/>
      <c r="B973" s="78"/>
      <c r="C973" s="78"/>
      <c r="D973" s="78"/>
      <c r="E973" s="78"/>
      <c r="F973" s="78"/>
      <c r="G973" s="78"/>
      <c r="H973" s="78"/>
      <c r="I973" s="78"/>
      <c r="J973" s="78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  <c r="V973" s="78"/>
      <c r="W973" s="78"/>
      <c r="X973" s="78"/>
      <c r="Y973" s="78"/>
      <c r="Z973" s="78"/>
    </row>
    <row r="974" spans="1:26" ht="12.75" customHeight="1" x14ac:dyDescent="0.2">
      <c r="A974" s="78"/>
      <c r="B974" s="78"/>
      <c r="C974" s="78"/>
      <c r="D974" s="78"/>
      <c r="E974" s="78"/>
      <c r="F974" s="78"/>
      <c r="G974" s="78"/>
      <c r="H974" s="78"/>
      <c r="I974" s="78"/>
      <c r="J974" s="78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  <c r="V974" s="78"/>
      <c r="W974" s="78"/>
      <c r="X974" s="78"/>
      <c r="Y974" s="78"/>
      <c r="Z974" s="78"/>
    </row>
    <row r="975" spans="1:26" ht="12.75" customHeight="1" x14ac:dyDescent="0.2">
      <c r="A975" s="78"/>
      <c r="B975" s="78"/>
      <c r="C975" s="78"/>
      <c r="D975" s="78"/>
      <c r="E975" s="78"/>
      <c r="F975" s="78"/>
      <c r="G975" s="78"/>
      <c r="H975" s="78"/>
      <c r="I975" s="78"/>
      <c r="J975" s="78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  <c r="V975" s="78"/>
      <c r="W975" s="78"/>
      <c r="X975" s="78"/>
      <c r="Y975" s="78"/>
      <c r="Z975" s="78"/>
    </row>
    <row r="976" spans="1:26" ht="12.75" customHeight="1" x14ac:dyDescent="0.2">
      <c r="A976" s="78"/>
      <c r="B976" s="78"/>
      <c r="C976" s="78"/>
      <c r="D976" s="78"/>
      <c r="E976" s="78"/>
      <c r="F976" s="78"/>
      <c r="G976" s="78"/>
      <c r="H976" s="78"/>
      <c r="I976" s="78"/>
      <c r="J976" s="78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  <c r="V976" s="78"/>
      <c r="W976" s="78"/>
      <c r="X976" s="78"/>
      <c r="Y976" s="78"/>
      <c r="Z976" s="78"/>
    </row>
    <row r="977" spans="1:26" ht="12.75" customHeight="1" x14ac:dyDescent="0.2">
      <c r="A977" s="78"/>
      <c r="B977" s="78"/>
      <c r="C977" s="78"/>
      <c r="D977" s="78"/>
      <c r="E977" s="78"/>
      <c r="F977" s="78"/>
      <c r="G977" s="78"/>
      <c r="H977" s="78"/>
      <c r="I977" s="78"/>
      <c r="J977" s="78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  <c r="V977" s="78"/>
      <c r="W977" s="78"/>
      <c r="X977" s="78"/>
      <c r="Y977" s="78"/>
      <c r="Z977" s="78"/>
    </row>
    <row r="978" spans="1:26" ht="12.75" customHeight="1" x14ac:dyDescent="0.2">
      <c r="A978" s="78"/>
      <c r="B978" s="78"/>
      <c r="C978" s="78"/>
      <c r="D978" s="78"/>
      <c r="E978" s="78"/>
      <c r="F978" s="78"/>
      <c r="G978" s="78"/>
      <c r="H978" s="78"/>
      <c r="I978" s="78"/>
      <c r="J978" s="78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  <c r="V978" s="78"/>
      <c r="W978" s="78"/>
      <c r="X978" s="78"/>
      <c r="Y978" s="78"/>
      <c r="Z978" s="78"/>
    </row>
    <row r="979" spans="1:26" ht="12.75" customHeight="1" x14ac:dyDescent="0.2">
      <c r="A979" s="78"/>
      <c r="B979" s="78"/>
      <c r="C979" s="78"/>
      <c r="D979" s="78"/>
      <c r="E979" s="78"/>
      <c r="F979" s="78"/>
      <c r="G979" s="78"/>
      <c r="H979" s="78"/>
      <c r="I979" s="78"/>
      <c r="J979" s="78"/>
      <c r="K979" s="78"/>
      <c r="L979" s="78"/>
      <c r="M979" s="78"/>
      <c r="N979" s="78"/>
      <c r="O979" s="78"/>
      <c r="P979" s="78"/>
      <c r="Q979" s="78"/>
      <c r="R979" s="78"/>
      <c r="S979" s="78"/>
      <c r="T979" s="78"/>
      <c r="U979" s="78"/>
      <c r="V979" s="78"/>
      <c r="W979" s="78"/>
      <c r="X979" s="78"/>
      <c r="Y979" s="78"/>
      <c r="Z979" s="78"/>
    </row>
    <row r="980" spans="1:26" ht="12.75" customHeight="1" x14ac:dyDescent="0.2">
      <c r="A980" s="78"/>
      <c r="B980" s="78"/>
      <c r="C980" s="78"/>
      <c r="D980" s="78"/>
      <c r="E980" s="78"/>
      <c r="F980" s="78"/>
      <c r="G980" s="78"/>
      <c r="H980" s="78"/>
      <c r="I980" s="78"/>
      <c r="J980" s="78"/>
      <c r="K980" s="78"/>
      <c r="L980" s="78"/>
      <c r="M980" s="78"/>
      <c r="N980" s="78"/>
      <c r="O980" s="78"/>
      <c r="P980" s="78"/>
      <c r="Q980" s="78"/>
      <c r="R980" s="78"/>
      <c r="S980" s="78"/>
      <c r="T980" s="78"/>
      <c r="U980" s="78"/>
      <c r="V980" s="78"/>
      <c r="W980" s="78"/>
      <c r="X980" s="78"/>
      <c r="Y980" s="78"/>
      <c r="Z980" s="78"/>
    </row>
    <row r="981" spans="1:26" ht="12.75" customHeight="1" x14ac:dyDescent="0.2">
      <c r="A981" s="78"/>
      <c r="B981" s="78"/>
      <c r="C981" s="78"/>
      <c r="D981" s="78"/>
      <c r="E981" s="78"/>
      <c r="F981" s="78"/>
      <c r="G981" s="78"/>
      <c r="H981" s="78"/>
      <c r="I981" s="78"/>
      <c r="J981" s="78"/>
      <c r="K981" s="78"/>
      <c r="L981" s="78"/>
      <c r="M981" s="78"/>
      <c r="N981" s="78"/>
      <c r="O981" s="78"/>
      <c r="P981" s="78"/>
      <c r="Q981" s="78"/>
      <c r="R981" s="78"/>
      <c r="S981" s="78"/>
      <c r="T981" s="78"/>
      <c r="U981" s="78"/>
      <c r="V981" s="78"/>
      <c r="W981" s="78"/>
      <c r="X981" s="78"/>
      <c r="Y981" s="78"/>
      <c r="Z981" s="78"/>
    </row>
    <row r="982" spans="1:26" ht="12.75" customHeight="1" x14ac:dyDescent="0.2">
      <c r="A982" s="78"/>
      <c r="B982" s="78"/>
      <c r="C982" s="78"/>
      <c r="D982" s="78"/>
      <c r="E982" s="78"/>
      <c r="F982" s="78"/>
      <c r="G982" s="78"/>
      <c r="H982" s="78"/>
      <c r="I982" s="78"/>
      <c r="J982" s="78"/>
      <c r="K982" s="78"/>
      <c r="L982" s="78"/>
      <c r="M982" s="78"/>
      <c r="N982" s="78"/>
      <c r="O982" s="78"/>
      <c r="P982" s="78"/>
      <c r="Q982" s="78"/>
      <c r="R982" s="78"/>
      <c r="S982" s="78"/>
      <c r="T982" s="78"/>
      <c r="U982" s="78"/>
      <c r="V982" s="78"/>
      <c r="W982" s="78"/>
      <c r="X982" s="78"/>
      <c r="Y982" s="78"/>
      <c r="Z982" s="78"/>
    </row>
    <row r="983" spans="1:26" ht="12.75" customHeight="1" x14ac:dyDescent="0.2">
      <c r="A983" s="78"/>
      <c r="B983" s="78"/>
      <c r="C983" s="78"/>
      <c r="D983" s="78"/>
      <c r="E983" s="78"/>
      <c r="F983" s="78"/>
      <c r="G983" s="78"/>
      <c r="H983" s="78"/>
      <c r="I983" s="78"/>
      <c r="J983" s="78"/>
      <c r="K983" s="78"/>
      <c r="L983" s="78"/>
      <c r="M983" s="78"/>
      <c r="N983" s="78"/>
      <c r="O983" s="78"/>
      <c r="P983" s="78"/>
      <c r="Q983" s="78"/>
      <c r="R983" s="78"/>
      <c r="S983" s="78"/>
      <c r="T983" s="78"/>
      <c r="U983" s="78"/>
      <c r="V983" s="78"/>
      <c r="W983" s="78"/>
      <c r="X983" s="78"/>
      <c r="Y983" s="78"/>
      <c r="Z983" s="78"/>
    </row>
    <row r="984" spans="1:26" ht="12.75" customHeight="1" x14ac:dyDescent="0.2">
      <c r="A984" s="78"/>
      <c r="B984" s="78"/>
      <c r="C984" s="78"/>
      <c r="D984" s="78"/>
      <c r="E984" s="78"/>
      <c r="F984" s="78"/>
      <c r="G984" s="78"/>
      <c r="H984" s="78"/>
      <c r="I984" s="78"/>
      <c r="J984" s="78"/>
      <c r="K984" s="78"/>
      <c r="L984" s="78"/>
      <c r="M984" s="78"/>
      <c r="N984" s="78"/>
      <c r="O984" s="78"/>
      <c r="P984" s="78"/>
      <c r="Q984" s="78"/>
      <c r="R984" s="78"/>
      <c r="S984" s="78"/>
      <c r="T984" s="78"/>
      <c r="U984" s="78"/>
      <c r="V984" s="78"/>
      <c r="W984" s="78"/>
      <c r="X984" s="78"/>
      <c r="Y984" s="78"/>
      <c r="Z984" s="78"/>
    </row>
    <row r="985" spans="1:26" ht="12.75" customHeight="1" x14ac:dyDescent="0.2">
      <c r="A985" s="78"/>
      <c r="B985" s="78"/>
      <c r="C985" s="78"/>
      <c r="D985" s="78"/>
      <c r="E985" s="78"/>
      <c r="F985" s="78"/>
      <c r="G985" s="78"/>
      <c r="H985" s="78"/>
      <c r="I985" s="78"/>
      <c r="J985" s="78"/>
      <c r="K985" s="78"/>
      <c r="L985" s="78"/>
      <c r="M985" s="78"/>
      <c r="N985" s="78"/>
      <c r="O985" s="78"/>
      <c r="P985" s="78"/>
      <c r="Q985" s="78"/>
      <c r="R985" s="78"/>
      <c r="S985" s="78"/>
      <c r="T985" s="78"/>
      <c r="U985" s="78"/>
      <c r="V985" s="78"/>
      <c r="W985" s="78"/>
      <c r="X985" s="78"/>
      <c r="Y985" s="78"/>
      <c r="Z985" s="78"/>
    </row>
    <row r="986" spans="1:26" ht="12.75" customHeight="1" x14ac:dyDescent="0.2">
      <c r="A986" s="78"/>
      <c r="B986" s="78"/>
      <c r="C986" s="78"/>
      <c r="D986" s="78"/>
      <c r="E986" s="78"/>
      <c r="F986" s="78"/>
      <c r="G986" s="78"/>
      <c r="H986" s="78"/>
      <c r="I986" s="78"/>
      <c r="J986" s="78"/>
      <c r="K986" s="78"/>
      <c r="L986" s="78"/>
      <c r="M986" s="78"/>
      <c r="N986" s="78"/>
      <c r="O986" s="78"/>
      <c r="P986" s="78"/>
      <c r="Q986" s="78"/>
      <c r="R986" s="78"/>
      <c r="S986" s="78"/>
      <c r="T986" s="78"/>
      <c r="U986" s="78"/>
      <c r="V986" s="78"/>
      <c r="W986" s="78"/>
      <c r="X986" s="78"/>
      <c r="Y986" s="78"/>
      <c r="Z986" s="78"/>
    </row>
    <row r="987" spans="1:26" ht="12.75" customHeight="1" x14ac:dyDescent="0.2">
      <c r="A987" s="78"/>
      <c r="B987" s="78"/>
      <c r="C987" s="78"/>
      <c r="D987" s="78"/>
      <c r="E987" s="78"/>
      <c r="F987" s="78"/>
      <c r="G987" s="78"/>
      <c r="H987" s="78"/>
      <c r="I987" s="78"/>
      <c r="J987" s="78"/>
      <c r="K987" s="78"/>
      <c r="L987" s="78"/>
      <c r="M987" s="78"/>
      <c r="N987" s="78"/>
      <c r="O987" s="78"/>
      <c r="P987" s="78"/>
      <c r="Q987" s="78"/>
      <c r="R987" s="78"/>
      <c r="S987" s="78"/>
      <c r="T987" s="78"/>
      <c r="U987" s="78"/>
      <c r="V987" s="78"/>
      <c r="W987" s="78"/>
      <c r="X987" s="78"/>
      <c r="Y987" s="78"/>
      <c r="Z987" s="78"/>
    </row>
    <row r="988" spans="1:26" ht="12.75" customHeight="1" x14ac:dyDescent="0.2">
      <c r="A988" s="78"/>
      <c r="B988" s="78"/>
      <c r="C988" s="78"/>
      <c r="D988" s="78"/>
      <c r="E988" s="78"/>
      <c r="F988" s="78"/>
      <c r="G988" s="78"/>
      <c r="H988" s="78"/>
      <c r="I988" s="78"/>
      <c r="J988" s="78"/>
      <c r="K988" s="78"/>
      <c r="L988" s="78"/>
      <c r="M988" s="78"/>
      <c r="N988" s="78"/>
      <c r="O988" s="78"/>
      <c r="P988" s="78"/>
      <c r="Q988" s="78"/>
      <c r="R988" s="78"/>
      <c r="S988" s="78"/>
      <c r="T988" s="78"/>
      <c r="U988" s="78"/>
      <c r="V988" s="78"/>
      <c r="W988" s="78"/>
      <c r="X988" s="78"/>
      <c r="Y988" s="78"/>
      <c r="Z988" s="78"/>
    </row>
    <row r="989" spans="1:26" ht="12.75" customHeight="1" x14ac:dyDescent="0.2">
      <c r="A989" s="78"/>
      <c r="B989" s="78"/>
      <c r="C989" s="78"/>
      <c r="D989" s="78"/>
      <c r="E989" s="78"/>
      <c r="F989" s="78"/>
      <c r="G989" s="78"/>
      <c r="H989" s="78"/>
      <c r="I989" s="78"/>
      <c r="J989" s="78"/>
      <c r="K989" s="78"/>
      <c r="L989" s="78"/>
      <c r="M989" s="78"/>
      <c r="N989" s="78"/>
      <c r="O989" s="78"/>
      <c r="P989" s="78"/>
      <c r="Q989" s="78"/>
      <c r="R989" s="78"/>
      <c r="S989" s="78"/>
      <c r="T989" s="78"/>
      <c r="U989" s="78"/>
      <c r="V989" s="78"/>
      <c r="W989" s="78"/>
      <c r="X989" s="78"/>
      <c r="Y989" s="78"/>
      <c r="Z989" s="78"/>
    </row>
    <row r="990" spans="1:26" ht="12.75" customHeight="1" x14ac:dyDescent="0.2">
      <c r="A990" s="78"/>
      <c r="B990" s="78"/>
      <c r="C990" s="78"/>
      <c r="D990" s="78"/>
      <c r="E990" s="78"/>
      <c r="F990" s="78"/>
      <c r="G990" s="78"/>
      <c r="H990" s="78"/>
      <c r="I990" s="78"/>
      <c r="J990" s="78"/>
      <c r="K990" s="78"/>
      <c r="L990" s="78"/>
      <c r="M990" s="78"/>
      <c r="N990" s="78"/>
      <c r="O990" s="78"/>
      <c r="P990" s="78"/>
      <c r="Q990" s="78"/>
      <c r="R990" s="78"/>
      <c r="S990" s="78"/>
      <c r="T990" s="78"/>
      <c r="U990" s="78"/>
      <c r="V990" s="78"/>
      <c r="W990" s="78"/>
      <c r="X990" s="78"/>
      <c r="Y990" s="78"/>
      <c r="Z990" s="78"/>
    </row>
    <row r="991" spans="1:26" ht="12.75" customHeight="1" x14ac:dyDescent="0.2">
      <c r="A991" s="78"/>
      <c r="B991" s="78"/>
      <c r="C991" s="78"/>
      <c r="D991" s="78"/>
      <c r="E991" s="78"/>
      <c r="F991" s="78"/>
      <c r="G991" s="78"/>
      <c r="H991" s="78"/>
      <c r="I991" s="78"/>
      <c r="J991" s="78"/>
      <c r="K991" s="78"/>
      <c r="L991" s="78"/>
      <c r="M991" s="78"/>
      <c r="N991" s="78"/>
      <c r="O991" s="78"/>
      <c r="P991" s="78"/>
      <c r="Q991" s="78"/>
      <c r="R991" s="78"/>
      <c r="S991" s="78"/>
      <c r="T991" s="78"/>
      <c r="U991" s="78"/>
      <c r="V991" s="78"/>
      <c r="W991" s="78"/>
      <c r="X991" s="78"/>
      <c r="Y991" s="78"/>
      <c r="Z991" s="78"/>
    </row>
    <row r="992" spans="1:26" ht="12.75" customHeight="1" x14ac:dyDescent="0.2">
      <c r="A992" s="78"/>
      <c r="B992" s="78"/>
      <c r="C992" s="78"/>
      <c r="D992" s="78"/>
      <c r="E992" s="78"/>
      <c r="F992" s="78"/>
      <c r="G992" s="78"/>
      <c r="H992" s="78"/>
      <c r="I992" s="78"/>
      <c r="J992" s="78"/>
      <c r="K992" s="78"/>
      <c r="L992" s="78"/>
      <c r="M992" s="78"/>
      <c r="N992" s="78"/>
      <c r="O992" s="78"/>
      <c r="P992" s="78"/>
      <c r="Q992" s="78"/>
      <c r="R992" s="78"/>
      <c r="S992" s="78"/>
      <c r="T992" s="78"/>
      <c r="U992" s="78"/>
      <c r="V992" s="78"/>
      <c r="W992" s="78"/>
      <c r="X992" s="78"/>
      <c r="Y992" s="78"/>
      <c r="Z992" s="78"/>
    </row>
    <row r="993" spans="1:26" ht="12.75" customHeight="1" x14ac:dyDescent="0.2">
      <c r="A993" s="78"/>
      <c r="B993" s="78"/>
      <c r="C993" s="78"/>
      <c r="D993" s="78"/>
      <c r="E993" s="78"/>
      <c r="F993" s="78"/>
      <c r="G993" s="78"/>
      <c r="H993" s="78"/>
      <c r="I993" s="78"/>
      <c r="J993" s="78"/>
      <c r="K993" s="78"/>
      <c r="L993" s="78"/>
      <c r="M993" s="78"/>
      <c r="N993" s="78"/>
      <c r="O993" s="78"/>
      <c r="P993" s="78"/>
      <c r="Q993" s="78"/>
      <c r="R993" s="78"/>
      <c r="S993" s="78"/>
      <c r="T993" s="78"/>
      <c r="U993" s="78"/>
      <c r="V993" s="78"/>
      <c r="W993" s="78"/>
      <c r="X993" s="78"/>
      <c r="Y993" s="78"/>
      <c r="Z993" s="78"/>
    </row>
    <row r="994" spans="1:26" ht="12.75" customHeight="1" x14ac:dyDescent="0.2">
      <c r="A994" s="78"/>
      <c r="B994" s="78"/>
      <c r="C994" s="78"/>
      <c r="D994" s="78"/>
      <c r="E994" s="78"/>
      <c r="F994" s="78"/>
      <c r="G994" s="78"/>
      <c r="H994" s="78"/>
      <c r="I994" s="78"/>
      <c r="J994" s="78"/>
      <c r="K994" s="78"/>
      <c r="L994" s="78"/>
      <c r="M994" s="78"/>
      <c r="N994" s="78"/>
      <c r="O994" s="78"/>
      <c r="P994" s="78"/>
      <c r="Q994" s="78"/>
      <c r="R994" s="78"/>
      <c r="S994" s="78"/>
      <c r="T994" s="78"/>
      <c r="U994" s="78"/>
      <c r="V994" s="78"/>
      <c r="W994" s="78"/>
      <c r="X994" s="78"/>
      <c r="Y994" s="78"/>
      <c r="Z994" s="78"/>
    </row>
    <row r="995" spans="1:26" ht="12.75" customHeight="1" x14ac:dyDescent="0.2">
      <c r="A995" s="78"/>
      <c r="B995" s="78"/>
      <c r="C995" s="78"/>
      <c r="D995" s="78"/>
      <c r="E995" s="78"/>
      <c r="F995" s="78"/>
      <c r="G995" s="78"/>
      <c r="H995" s="78"/>
      <c r="I995" s="78"/>
      <c r="J995" s="78"/>
      <c r="K995" s="78"/>
      <c r="L995" s="78"/>
      <c r="M995" s="78"/>
      <c r="N995" s="78"/>
      <c r="O995" s="78"/>
      <c r="P995" s="78"/>
      <c r="Q995" s="78"/>
      <c r="R995" s="78"/>
      <c r="S995" s="78"/>
      <c r="T995" s="78"/>
      <c r="U995" s="78"/>
      <c r="V995" s="78"/>
      <c r="W995" s="78"/>
      <c r="X995" s="78"/>
      <c r="Y995" s="78"/>
      <c r="Z995" s="78"/>
    </row>
    <row r="996" spans="1:26" ht="12.75" customHeight="1" x14ac:dyDescent="0.2">
      <c r="A996" s="78"/>
      <c r="B996" s="78"/>
      <c r="C996" s="78"/>
      <c r="D996" s="78"/>
      <c r="E996" s="78"/>
      <c r="F996" s="78"/>
      <c r="G996" s="78"/>
      <c r="H996" s="78"/>
      <c r="I996" s="78"/>
      <c r="J996" s="78"/>
      <c r="K996" s="78"/>
      <c r="L996" s="78"/>
      <c r="M996" s="78"/>
      <c r="N996" s="78"/>
      <c r="O996" s="78"/>
      <c r="P996" s="78"/>
      <c r="Q996" s="78"/>
      <c r="R996" s="78"/>
      <c r="S996" s="78"/>
      <c r="T996" s="78"/>
      <c r="U996" s="78"/>
      <c r="V996" s="78"/>
      <c r="W996" s="78"/>
      <c r="X996" s="78"/>
      <c r="Y996" s="78"/>
      <c r="Z996" s="78"/>
    </row>
    <row r="997" spans="1:26" ht="12.75" customHeight="1" x14ac:dyDescent="0.2">
      <c r="A997" s="78"/>
      <c r="B997" s="78"/>
      <c r="C997" s="78"/>
      <c r="D997" s="78"/>
      <c r="E997" s="78"/>
      <c r="F997" s="78"/>
      <c r="G997" s="78"/>
      <c r="H997" s="78"/>
      <c r="I997" s="78"/>
      <c r="J997" s="78"/>
      <c r="K997" s="78"/>
      <c r="L997" s="78"/>
      <c r="M997" s="78"/>
      <c r="N997" s="78"/>
      <c r="O997" s="78"/>
      <c r="P997" s="78"/>
      <c r="Q997" s="78"/>
      <c r="R997" s="78"/>
      <c r="S997" s="78"/>
      <c r="T997" s="78"/>
      <c r="U997" s="78"/>
      <c r="V997" s="78"/>
      <c r="W997" s="78"/>
      <c r="X997" s="78"/>
      <c r="Y997" s="78"/>
      <c r="Z997" s="78"/>
    </row>
    <row r="998" spans="1:26" ht="12.75" customHeight="1" x14ac:dyDescent="0.2">
      <c r="A998" s="78"/>
      <c r="B998" s="78"/>
      <c r="C998" s="78"/>
      <c r="D998" s="78"/>
      <c r="E998" s="78"/>
      <c r="F998" s="78"/>
      <c r="G998" s="78"/>
      <c r="H998" s="78"/>
      <c r="I998" s="78"/>
      <c r="J998" s="78"/>
      <c r="K998" s="78"/>
      <c r="L998" s="78"/>
      <c r="M998" s="78"/>
      <c r="N998" s="78"/>
      <c r="O998" s="78"/>
      <c r="P998" s="78"/>
      <c r="Q998" s="78"/>
      <c r="R998" s="78"/>
      <c r="S998" s="78"/>
      <c r="T998" s="78"/>
      <c r="U998" s="78"/>
      <c r="V998" s="78"/>
      <c r="W998" s="78"/>
      <c r="X998" s="78"/>
      <c r="Y998" s="78"/>
      <c r="Z998" s="78"/>
    </row>
    <row r="999" spans="1:26" ht="12.75" customHeight="1" x14ac:dyDescent="0.2">
      <c r="A999" s="78"/>
      <c r="B999" s="78"/>
      <c r="C999" s="78"/>
      <c r="D999" s="78"/>
      <c r="E999" s="78"/>
      <c r="F999" s="78"/>
      <c r="G999" s="78"/>
      <c r="H999" s="78"/>
      <c r="I999" s="78"/>
      <c r="J999" s="78"/>
      <c r="K999" s="78"/>
      <c r="L999" s="78"/>
      <c r="M999" s="78"/>
      <c r="N999" s="78"/>
      <c r="O999" s="78"/>
      <c r="P999" s="78"/>
      <c r="Q999" s="78"/>
      <c r="R999" s="78"/>
      <c r="S999" s="78"/>
      <c r="T999" s="78"/>
      <c r="U999" s="78"/>
      <c r="V999" s="78"/>
      <c r="W999" s="78"/>
      <c r="X999" s="78"/>
      <c r="Y999" s="78"/>
      <c r="Z999" s="78"/>
    </row>
    <row r="1000" spans="1:26" ht="12.75" customHeight="1" x14ac:dyDescent="0.2">
      <c r="A1000" s="78"/>
      <c r="B1000" s="78"/>
      <c r="C1000" s="78"/>
      <c r="D1000" s="78"/>
      <c r="E1000" s="78"/>
      <c r="F1000" s="78"/>
      <c r="G1000" s="78"/>
      <c r="H1000" s="78"/>
      <c r="I1000" s="78"/>
      <c r="J1000" s="78"/>
      <c r="K1000" s="78"/>
      <c r="L1000" s="78"/>
      <c r="M1000" s="78"/>
      <c r="N1000" s="78"/>
      <c r="O1000" s="78"/>
      <c r="P1000" s="78"/>
      <c r="Q1000" s="78"/>
      <c r="R1000" s="78"/>
      <c r="S1000" s="78"/>
      <c r="T1000" s="78"/>
      <c r="U1000" s="78"/>
      <c r="V1000" s="78"/>
      <c r="W1000" s="78"/>
      <c r="X1000" s="78"/>
      <c r="Y1000" s="78"/>
      <c r="Z1000" s="78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/>
  </sheetPr>
  <dimension ref="A1:Z1000"/>
  <sheetViews>
    <sheetView tabSelected="1" workbookViewId="0">
      <selection activeCell="R26" sqref="R26"/>
    </sheetView>
  </sheetViews>
  <sheetFormatPr baseColWidth="10" defaultColWidth="14.5" defaultRowHeight="15" customHeight="1" x14ac:dyDescent="0.2"/>
  <cols>
    <col min="1" max="5" width="1.5" customWidth="1"/>
    <col min="6" max="6" width="1.33203125" customWidth="1"/>
    <col min="7" max="7" width="54.1640625" customWidth="1"/>
    <col min="8" max="11" width="17.5" customWidth="1"/>
    <col min="12" max="12" width="18.83203125" customWidth="1"/>
    <col min="13" max="16" width="17.5" customWidth="1"/>
    <col min="17" max="18" width="18.83203125" customWidth="1"/>
    <col min="19" max="26" width="1.5" customWidth="1"/>
  </cols>
  <sheetData>
    <row r="1" spans="1:26" ht="12.75" customHeight="1" x14ac:dyDescent="0.2">
      <c r="A1" s="2" t="s">
        <v>1</v>
      </c>
      <c r="B1" s="109"/>
      <c r="C1" s="109"/>
      <c r="D1" s="109"/>
      <c r="E1" s="109"/>
      <c r="F1" s="109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</row>
    <row r="2" spans="1:26" ht="12.75" customHeight="1" x14ac:dyDescent="0.2">
      <c r="A2" s="2" t="s">
        <v>130</v>
      </c>
      <c r="B2" s="109"/>
      <c r="C2" s="109"/>
      <c r="D2" s="109"/>
      <c r="E2" s="109"/>
      <c r="F2" s="109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</row>
    <row r="3" spans="1:26" ht="12.75" customHeight="1" x14ac:dyDescent="0.2">
      <c r="A3" s="93" t="s">
        <v>76</v>
      </c>
      <c r="B3" s="109"/>
      <c r="C3" s="109"/>
      <c r="D3" s="109"/>
      <c r="E3" s="109"/>
      <c r="F3" s="109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</row>
    <row r="4" spans="1:26" ht="12.75" customHeight="1" x14ac:dyDescent="0.2">
      <c r="A4" s="93" t="s">
        <v>100</v>
      </c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</row>
    <row r="5" spans="1:26" ht="12.75" customHeight="1" x14ac:dyDescent="0.2">
      <c r="A5" s="93"/>
      <c r="B5" s="78"/>
      <c r="C5" s="78"/>
      <c r="D5" s="78"/>
      <c r="E5" s="78"/>
      <c r="F5" s="78"/>
      <c r="G5" s="78"/>
      <c r="H5" s="172" t="s">
        <v>78</v>
      </c>
      <c r="I5" s="171"/>
      <c r="J5" s="171"/>
      <c r="K5" s="171"/>
      <c r="L5" s="142" t="s">
        <v>79</v>
      </c>
      <c r="M5" s="173" t="s">
        <v>78</v>
      </c>
      <c r="N5" s="171"/>
      <c r="O5" s="171"/>
      <c r="P5" s="171"/>
      <c r="Q5" s="142" t="s">
        <v>79</v>
      </c>
      <c r="R5" s="84" t="s">
        <v>78</v>
      </c>
      <c r="S5" s="78"/>
      <c r="T5" s="78"/>
      <c r="U5" s="78"/>
      <c r="V5" s="78"/>
      <c r="W5" s="78"/>
      <c r="X5" s="78"/>
      <c r="Y5" s="78"/>
      <c r="Z5" s="78"/>
    </row>
    <row r="6" spans="1:26" ht="12.75" customHeight="1" x14ac:dyDescent="0.2">
      <c r="A6" s="143"/>
      <c r="B6" s="78"/>
      <c r="C6" s="78"/>
      <c r="D6" s="78"/>
      <c r="E6" s="78"/>
      <c r="F6" s="78"/>
      <c r="G6" s="78"/>
      <c r="H6" s="82" t="s">
        <v>80</v>
      </c>
      <c r="I6" s="82" t="s">
        <v>81</v>
      </c>
      <c r="J6" s="82" t="s">
        <v>82</v>
      </c>
      <c r="K6" s="82" t="s">
        <v>83</v>
      </c>
      <c r="L6" s="83" t="s">
        <v>83</v>
      </c>
      <c r="M6" s="82" t="s">
        <v>80</v>
      </c>
      <c r="N6" s="82" t="s">
        <v>81</v>
      </c>
      <c r="O6" s="82" t="s">
        <v>82</v>
      </c>
      <c r="P6" s="82" t="s">
        <v>83</v>
      </c>
      <c r="Q6" s="83" t="s">
        <v>83</v>
      </c>
      <c r="R6" s="82" t="s">
        <v>80</v>
      </c>
      <c r="S6" s="78"/>
      <c r="T6" s="78"/>
      <c r="U6" s="78"/>
      <c r="V6" s="78"/>
      <c r="W6" s="78"/>
      <c r="X6" s="78"/>
      <c r="Y6" s="78"/>
      <c r="Z6" s="78"/>
    </row>
    <row r="7" spans="1:26" ht="12.75" customHeight="1" x14ac:dyDescent="0.2">
      <c r="A7" s="143"/>
      <c r="B7" s="78"/>
      <c r="C7" s="78"/>
      <c r="D7" s="78"/>
      <c r="E7" s="78"/>
      <c r="F7" s="78"/>
      <c r="G7" s="78"/>
      <c r="H7" s="84">
        <v>2021</v>
      </c>
      <c r="I7" s="84">
        <v>2021</v>
      </c>
      <c r="J7" s="84">
        <v>2021</v>
      </c>
      <c r="K7" s="84">
        <v>2021</v>
      </c>
      <c r="L7" s="144">
        <v>2021</v>
      </c>
      <c r="M7" s="84">
        <v>2022</v>
      </c>
      <c r="N7" s="84">
        <v>2022</v>
      </c>
      <c r="O7" s="84">
        <v>2022</v>
      </c>
      <c r="P7" s="84">
        <v>2022</v>
      </c>
      <c r="Q7" s="144">
        <v>2022</v>
      </c>
      <c r="R7" s="84">
        <v>2023</v>
      </c>
      <c r="S7" s="78"/>
      <c r="T7" s="78"/>
      <c r="U7" s="78"/>
      <c r="V7" s="78"/>
      <c r="W7" s="78"/>
      <c r="X7" s="78"/>
      <c r="Y7" s="78"/>
      <c r="Z7" s="78"/>
    </row>
    <row r="8" spans="1:26" ht="12.75" customHeight="1" x14ac:dyDescent="0.2">
      <c r="A8" s="140" t="s">
        <v>131</v>
      </c>
      <c r="B8" s="109"/>
      <c r="C8" s="109"/>
      <c r="D8" s="109"/>
      <c r="E8" s="78"/>
      <c r="F8" s="78"/>
      <c r="G8" s="78"/>
      <c r="H8" s="78"/>
      <c r="I8" s="78"/>
      <c r="J8" s="78"/>
      <c r="K8" s="78"/>
      <c r="L8" s="87"/>
      <c r="M8" s="78"/>
      <c r="N8" s="78"/>
      <c r="O8" s="78"/>
      <c r="P8" s="78"/>
      <c r="Q8" s="87"/>
      <c r="R8" s="78"/>
      <c r="S8" s="78"/>
      <c r="T8" s="78"/>
      <c r="U8" s="78"/>
      <c r="V8" s="78"/>
      <c r="W8" s="78"/>
      <c r="X8" s="78"/>
      <c r="Y8" s="78"/>
      <c r="Z8" s="78"/>
    </row>
    <row r="9" spans="1:26" ht="12.75" customHeight="1" x14ac:dyDescent="0.2">
      <c r="A9" s="119"/>
      <c r="B9" s="78" t="s">
        <v>94</v>
      </c>
      <c r="C9" s="78"/>
      <c r="D9" s="78"/>
      <c r="E9" s="78"/>
      <c r="F9" s="78"/>
      <c r="G9" s="78"/>
      <c r="H9" s="145">
        <v>119470.05000000002</v>
      </c>
      <c r="I9" s="145">
        <v>94710.91</v>
      </c>
      <c r="J9" s="145">
        <v>101434.97000000002</v>
      </c>
      <c r="K9" s="145">
        <v>42520.030000000006</v>
      </c>
      <c r="L9" s="146">
        <f>SUM(H9:K9)</f>
        <v>358135.96000000008</v>
      </c>
      <c r="M9" s="145">
        <v>111821.29000000001</v>
      </c>
      <c r="N9" s="145">
        <v>100866.57</v>
      </c>
      <c r="O9" s="145">
        <v>97876.94</v>
      </c>
      <c r="P9" s="145">
        <v>3869.8800000000006</v>
      </c>
      <c r="Q9" s="146">
        <f>SUM(M9:P9)</f>
        <v>314434.68000000005</v>
      </c>
      <c r="R9" s="145">
        <f>'[1]Income Statement'!P20</f>
        <v>0</v>
      </c>
      <c r="S9" s="78"/>
      <c r="T9" s="78"/>
      <c r="U9" s="78"/>
      <c r="V9" s="78"/>
      <c r="W9" s="78"/>
      <c r="X9" s="78"/>
      <c r="Y9" s="78"/>
      <c r="Z9" s="78"/>
    </row>
    <row r="10" spans="1:26" ht="12.75" customHeight="1" x14ac:dyDescent="0.2">
      <c r="A10" s="143"/>
      <c r="B10" s="78" t="s">
        <v>132</v>
      </c>
      <c r="C10" s="78"/>
      <c r="D10" s="78"/>
      <c r="E10" s="78"/>
      <c r="F10" s="78"/>
      <c r="G10" s="78"/>
      <c r="H10" s="97">
        <v>0</v>
      </c>
      <c r="I10" s="97">
        <v>0</v>
      </c>
      <c r="J10" s="97">
        <v>0</v>
      </c>
      <c r="K10" s="97">
        <v>0</v>
      </c>
      <c r="L10" s="92"/>
      <c r="M10" s="97">
        <v>0</v>
      </c>
      <c r="N10" s="97">
        <v>0</v>
      </c>
      <c r="O10" s="97">
        <v>0</v>
      </c>
      <c r="P10" s="97">
        <v>0</v>
      </c>
      <c r="Q10" s="92"/>
      <c r="R10" s="97">
        <v>0</v>
      </c>
      <c r="S10" s="78"/>
      <c r="T10" s="78"/>
      <c r="U10" s="78"/>
      <c r="V10" s="78"/>
      <c r="W10" s="78"/>
      <c r="X10" s="78"/>
      <c r="Y10" s="78"/>
      <c r="Z10" s="78"/>
    </row>
    <row r="11" spans="1:26" ht="12.75" customHeight="1" x14ac:dyDescent="0.2">
      <c r="A11" s="143"/>
      <c r="B11" s="78"/>
      <c r="C11" s="78" t="s">
        <v>133</v>
      </c>
      <c r="D11" s="78"/>
      <c r="E11" s="78"/>
      <c r="F11" s="78"/>
      <c r="G11" s="78"/>
      <c r="H11" s="97">
        <v>0</v>
      </c>
      <c r="I11" s="97">
        <v>0</v>
      </c>
      <c r="J11" s="97">
        <v>0</v>
      </c>
      <c r="K11" s="97">
        <v>0</v>
      </c>
      <c r="L11" s="92"/>
      <c r="M11" s="97">
        <v>0</v>
      </c>
      <c r="N11" s="97">
        <v>0</v>
      </c>
      <c r="O11" s="97">
        <v>0</v>
      </c>
      <c r="P11" s="97">
        <v>0</v>
      </c>
      <c r="Q11" s="92"/>
      <c r="R11" s="97">
        <v>0</v>
      </c>
      <c r="S11" s="78"/>
      <c r="T11" s="78"/>
      <c r="U11" s="78"/>
      <c r="V11" s="78"/>
      <c r="W11" s="78"/>
      <c r="X11" s="78"/>
      <c r="Y11" s="78"/>
      <c r="Z11" s="78"/>
    </row>
    <row r="12" spans="1:26" ht="12.75" customHeight="1" x14ac:dyDescent="0.2">
      <c r="A12" s="143"/>
      <c r="B12" s="78"/>
      <c r="C12" s="78"/>
      <c r="D12" s="78" t="s">
        <v>134</v>
      </c>
      <c r="E12" s="78"/>
      <c r="F12" s="78"/>
      <c r="G12" s="78"/>
      <c r="H12" s="97">
        <v>-229920.32000000004</v>
      </c>
      <c r="I12" s="97">
        <v>-286772.5</v>
      </c>
      <c r="J12" s="97">
        <v>-326636.59000000003</v>
      </c>
      <c r="K12" s="97">
        <v>-395824.73000000004</v>
      </c>
      <c r="L12" s="92">
        <f t="shared" ref="L12:L19" si="0">SUM(H12:K12)</f>
        <v>-1239154.1400000001</v>
      </c>
      <c r="M12" s="97">
        <v>-250891.48</v>
      </c>
      <c r="N12" s="97">
        <v>-328090.77</v>
      </c>
      <c r="O12" s="97">
        <v>-320786.97000000003</v>
      </c>
      <c r="P12" s="97">
        <v>-278963.44</v>
      </c>
      <c r="Q12" s="92">
        <f t="shared" ref="Q12:Q19" si="1">SUM(M12:P12)</f>
        <v>-1178732.6599999999</v>
      </c>
      <c r="R12" s="97">
        <v>-172106.62000000002</v>
      </c>
      <c r="S12" s="78"/>
      <c r="T12" s="78"/>
      <c r="U12" s="78"/>
      <c r="V12" s="78"/>
      <c r="W12" s="78"/>
      <c r="X12" s="78"/>
      <c r="Y12" s="78"/>
      <c r="Z12" s="78"/>
    </row>
    <row r="13" spans="1:26" ht="12.75" customHeight="1" x14ac:dyDescent="0.2">
      <c r="A13" s="143"/>
      <c r="B13" s="78"/>
      <c r="C13" s="78"/>
      <c r="D13" s="78" t="s">
        <v>135</v>
      </c>
      <c r="E13" s="78"/>
      <c r="F13" s="78"/>
      <c r="G13" s="78"/>
      <c r="H13" s="97">
        <v>-18622.800000000003</v>
      </c>
      <c r="I13" s="97">
        <v>-21854.560000000001</v>
      </c>
      <c r="J13" s="97">
        <v>-2047.2200000000003</v>
      </c>
      <c r="K13" s="97">
        <v>58827.44</v>
      </c>
      <c r="L13" s="92">
        <f t="shared" si="0"/>
        <v>16302.86</v>
      </c>
      <c r="M13" s="97">
        <v>-24300.430000000004</v>
      </c>
      <c r="N13" s="97">
        <v>13385.960000000001</v>
      </c>
      <c r="O13" s="97">
        <v>4260.6900000000005</v>
      </c>
      <c r="P13" s="97">
        <v>19205.480000000003</v>
      </c>
      <c r="Q13" s="92">
        <f t="shared" si="1"/>
        <v>12551.7</v>
      </c>
      <c r="R13" s="97">
        <v>-24835.370000000003</v>
      </c>
      <c r="S13" s="78"/>
      <c r="T13" s="78"/>
      <c r="U13" s="78"/>
      <c r="V13" s="78"/>
      <c r="W13" s="78"/>
      <c r="X13" s="78"/>
      <c r="Y13" s="78"/>
      <c r="Z13" s="78"/>
    </row>
    <row r="14" spans="1:26" ht="12.75" customHeight="1" x14ac:dyDescent="0.2">
      <c r="A14" s="143"/>
      <c r="B14" s="78"/>
      <c r="C14" s="78"/>
      <c r="D14" s="78" t="s">
        <v>136</v>
      </c>
      <c r="E14" s="78"/>
      <c r="F14" s="78"/>
      <c r="G14" s="78"/>
      <c r="H14" s="97">
        <v>190343.72000000003</v>
      </c>
      <c r="I14" s="97">
        <v>196476.21000000002</v>
      </c>
      <c r="J14" s="97">
        <v>207413.57</v>
      </c>
      <c r="K14" s="97">
        <v>261892.19000000003</v>
      </c>
      <c r="L14" s="92">
        <f t="shared" si="0"/>
        <v>856125.69000000006</v>
      </c>
      <c r="M14" s="97">
        <v>221645.55000000002</v>
      </c>
      <c r="N14" s="97">
        <v>228294.36000000002</v>
      </c>
      <c r="O14" s="97">
        <v>255751.44000000003</v>
      </c>
      <c r="P14" s="97">
        <v>276137.89</v>
      </c>
      <c r="Q14" s="92">
        <f t="shared" si="1"/>
        <v>981829.24000000011</v>
      </c>
      <c r="R14" s="97">
        <v>242198.88000000003</v>
      </c>
      <c r="S14" s="78"/>
      <c r="T14" s="78"/>
      <c r="U14" s="78"/>
      <c r="V14" s="78"/>
      <c r="W14" s="78"/>
      <c r="X14" s="78"/>
      <c r="Y14" s="78"/>
      <c r="Z14" s="78"/>
    </row>
    <row r="15" spans="1:26" ht="12.75" customHeight="1" x14ac:dyDescent="0.2">
      <c r="A15" s="143"/>
      <c r="B15" s="78"/>
      <c r="C15" s="78"/>
      <c r="D15" s="78" t="s">
        <v>137</v>
      </c>
      <c r="E15" s="78"/>
      <c r="F15" s="78"/>
      <c r="G15" s="78"/>
      <c r="H15" s="97">
        <v>2501.8700000000003</v>
      </c>
      <c r="I15" s="97">
        <v>2690.38</v>
      </c>
      <c r="J15" s="97">
        <v>4917.71</v>
      </c>
      <c r="K15" s="97">
        <v>4478.88</v>
      </c>
      <c r="L15" s="92">
        <f t="shared" si="0"/>
        <v>14588.84</v>
      </c>
      <c r="M15" s="97">
        <v>5222.1400000000003</v>
      </c>
      <c r="N15" s="97">
        <v>5845.35</v>
      </c>
      <c r="O15" s="97">
        <v>5963.1600000000008</v>
      </c>
      <c r="P15" s="97">
        <v>6537.0900000000011</v>
      </c>
      <c r="Q15" s="92">
        <f t="shared" si="1"/>
        <v>23567.74</v>
      </c>
      <c r="R15" s="97">
        <v>6323.4500000000007</v>
      </c>
      <c r="S15" s="78"/>
      <c r="T15" s="78"/>
      <c r="U15" s="78"/>
      <c r="V15" s="78"/>
      <c r="W15" s="78"/>
      <c r="X15" s="78"/>
      <c r="Y15" s="78"/>
      <c r="Z15" s="78"/>
    </row>
    <row r="16" spans="1:26" ht="12.75" customHeight="1" x14ac:dyDescent="0.2">
      <c r="A16" s="93"/>
      <c r="B16" s="78"/>
      <c r="C16" s="78"/>
      <c r="D16" s="78" t="s">
        <v>138</v>
      </c>
      <c r="E16" s="78"/>
      <c r="F16" s="78"/>
      <c r="G16" s="78"/>
      <c r="H16" s="97">
        <v>7506.1</v>
      </c>
      <c r="I16" s="97">
        <v>7110.81</v>
      </c>
      <c r="J16" s="97">
        <v>6655.4600000000009</v>
      </c>
      <c r="K16" s="97">
        <v>6953.0300000000007</v>
      </c>
      <c r="L16" s="92">
        <f t="shared" si="0"/>
        <v>28225.4</v>
      </c>
      <c r="M16" s="97">
        <v>8344.630000000001</v>
      </c>
      <c r="N16" s="97">
        <v>10527.44</v>
      </c>
      <c r="O16" s="97">
        <v>10644.34</v>
      </c>
      <c r="P16" s="97">
        <v>10765.230000000001</v>
      </c>
      <c r="Q16" s="92">
        <f t="shared" si="1"/>
        <v>40281.64</v>
      </c>
      <c r="R16" s="97">
        <v>6936.93</v>
      </c>
      <c r="S16" s="78"/>
      <c r="T16" s="78"/>
      <c r="U16" s="78"/>
      <c r="V16" s="78"/>
      <c r="W16" s="78"/>
      <c r="X16" s="78"/>
      <c r="Y16" s="78"/>
      <c r="Z16" s="78"/>
    </row>
    <row r="17" spans="1:26" ht="12.75" customHeight="1" x14ac:dyDescent="0.2">
      <c r="A17" s="119"/>
      <c r="B17" s="78"/>
      <c r="C17" s="78"/>
      <c r="D17" s="78" t="s">
        <v>139</v>
      </c>
      <c r="E17" s="78"/>
      <c r="F17" s="78"/>
      <c r="G17" s="78"/>
      <c r="H17" s="97">
        <v>-17733.100000000002</v>
      </c>
      <c r="I17" s="97">
        <v>4415.18</v>
      </c>
      <c r="J17" s="97">
        <v>-9554.1600000000017</v>
      </c>
      <c r="K17" s="97">
        <v>-7274.1900000000005</v>
      </c>
      <c r="L17" s="92">
        <f t="shared" si="0"/>
        <v>-30146.270000000004</v>
      </c>
      <c r="M17" s="97">
        <v>-11327.470000000001</v>
      </c>
      <c r="N17" s="97">
        <v>-21315.910000000003</v>
      </c>
      <c r="O17" s="97">
        <v>-24392.06</v>
      </c>
      <c r="P17" s="97">
        <v>32317.670000000002</v>
      </c>
      <c r="Q17" s="92">
        <f t="shared" si="1"/>
        <v>-24717.77</v>
      </c>
      <c r="R17" s="97">
        <v>5645.5700000000006</v>
      </c>
      <c r="S17" s="78"/>
      <c r="T17" s="78"/>
      <c r="U17" s="78"/>
      <c r="V17" s="78"/>
      <c r="W17" s="78"/>
      <c r="X17" s="78"/>
      <c r="Y17" s="78"/>
      <c r="Z17" s="78"/>
    </row>
    <row r="18" spans="1:26" ht="12.75" customHeight="1" x14ac:dyDescent="0.2">
      <c r="A18" s="119"/>
      <c r="B18" s="78"/>
      <c r="C18" s="78"/>
      <c r="D18" s="78" t="s">
        <v>140</v>
      </c>
      <c r="E18" s="78"/>
      <c r="F18" s="78"/>
      <c r="G18" s="78"/>
      <c r="H18" s="97">
        <v>5085.9900000000007</v>
      </c>
      <c r="I18" s="97">
        <v>7567.2100000000009</v>
      </c>
      <c r="J18" s="97">
        <v>7154.77</v>
      </c>
      <c r="K18" s="97">
        <v>6566.420000000001</v>
      </c>
      <c r="L18" s="92">
        <f t="shared" si="0"/>
        <v>26374.390000000003</v>
      </c>
      <c r="M18" s="97">
        <v>7137.7600000000011</v>
      </c>
      <c r="N18" s="97">
        <v>14376.180000000002</v>
      </c>
      <c r="O18" s="97">
        <v>7175.9100000000008</v>
      </c>
      <c r="P18" s="97">
        <v>8658.1600000000017</v>
      </c>
      <c r="Q18" s="92">
        <f t="shared" si="1"/>
        <v>37348.01</v>
      </c>
      <c r="R18" s="97">
        <v>8400.5600000000013</v>
      </c>
      <c r="S18" s="78"/>
      <c r="T18" s="78"/>
      <c r="U18" s="78"/>
      <c r="V18" s="78"/>
      <c r="W18" s="78"/>
      <c r="X18" s="78"/>
      <c r="Y18" s="78"/>
      <c r="Z18" s="78"/>
    </row>
    <row r="19" spans="1:26" ht="12.75" customHeight="1" x14ac:dyDescent="0.2">
      <c r="A19" s="119"/>
      <c r="B19" s="78"/>
      <c r="C19" s="78"/>
      <c r="D19" s="78" t="s">
        <v>141</v>
      </c>
      <c r="E19" s="78"/>
      <c r="F19" s="78"/>
      <c r="G19" s="78"/>
      <c r="H19" s="97">
        <v>11181.310000000001</v>
      </c>
      <c r="I19" s="97">
        <v>3578.8900000000003</v>
      </c>
      <c r="J19" s="97">
        <v>3567.6900000000005</v>
      </c>
      <c r="K19" s="97">
        <v>-4359.5300000000007</v>
      </c>
      <c r="L19" s="92">
        <f t="shared" si="0"/>
        <v>13968.359999999999</v>
      </c>
      <c r="M19" s="97">
        <v>-4823.42</v>
      </c>
      <c r="N19" s="97">
        <v>-8107.4000000000005</v>
      </c>
      <c r="O19" s="97">
        <v>-4045.7900000000004</v>
      </c>
      <c r="P19" s="97">
        <v>5318.1100000000006</v>
      </c>
      <c r="Q19" s="92">
        <f t="shared" si="1"/>
        <v>-11658.5</v>
      </c>
      <c r="R19" s="97">
        <v>-6914.7400000000007</v>
      </c>
      <c r="S19" s="78"/>
      <c r="T19" s="78"/>
      <c r="U19" s="78"/>
      <c r="V19" s="78"/>
      <c r="W19" s="78"/>
      <c r="X19" s="78"/>
      <c r="Y19" s="78"/>
      <c r="Z19" s="78"/>
    </row>
    <row r="20" spans="1:26" ht="12.75" customHeight="1" x14ac:dyDescent="0.2">
      <c r="A20" s="93"/>
      <c r="B20" s="78"/>
      <c r="C20" s="78"/>
      <c r="D20" s="78" t="s">
        <v>142</v>
      </c>
      <c r="E20" s="78"/>
      <c r="F20" s="78"/>
      <c r="G20" s="78"/>
      <c r="H20" s="97">
        <v>0</v>
      </c>
      <c r="I20" s="97">
        <v>0</v>
      </c>
      <c r="J20" s="97">
        <v>0</v>
      </c>
      <c r="K20" s="97">
        <v>0</v>
      </c>
      <c r="L20" s="92"/>
      <c r="M20" s="97">
        <v>0</v>
      </c>
      <c r="N20" s="97">
        <v>0</v>
      </c>
      <c r="O20" s="97">
        <v>0</v>
      </c>
      <c r="P20" s="97">
        <v>0</v>
      </c>
      <c r="Q20" s="92"/>
      <c r="R20" s="97">
        <v>0</v>
      </c>
      <c r="S20" s="78"/>
      <c r="T20" s="78"/>
      <c r="U20" s="78"/>
      <c r="V20" s="78"/>
      <c r="W20" s="78"/>
      <c r="X20" s="78"/>
      <c r="Y20" s="78"/>
      <c r="Z20" s="78"/>
    </row>
    <row r="21" spans="1:26" ht="12.75" customHeight="1" x14ac:dyDescent="0.2">
      <c r="A21" s="143"/>
      <c r="B21" s="78"/>
      <c r="C21" s="78"/>
      <c r="D21" s="78"/>
      <c r="E21" s="78" t="s">
        <v>105</v>
      </c>
      <c r="F21" s="78"/>
      <c r="G21" s="78"/>
      <c r="H21" s="97">
        <v>-15508.850000000002</v>
      </c>
      <c r="I21" s="97">
        <v>-3666.11</v>
      </c>
      <c r="J21" s="97">
        <v>-6660.1500000000005</v>
      </c>
      <c r="K21" s="97">
        <v>-42.56</v>
      </c>
      <c r="L21" s="92">
        <f t="shared" ref="L21:L25" si="2">SUM(H21:K21)</f>
        <v>-25877.670000000006</v>
      </c>
      <c r="M21" s="97">
        <v>2880.9900000000002</v>
      </c>
      <c r="N21" s="97">
        <v>8637.93</v>
      </c>
      <c r="O21" s="97">
        <v>-8404.9700000000012</v>
      </c>
      <c r="P21" s="97">
        <v>-27882.33</v>
      </c>
      <c r="Q21" s="92">
        <f t="shared" ref="Q21:Q25" si="3">SUM(M21:P21)</f>
        <v>-24768.380000000005</v>
      </c>
      <c r="R21" s="97">
        <v>-6196.5400000000009</v>
      </c>
      <c r="S21" s="78"/>
      <c r="T21" s="78"/>
      <c r="U21" s="78"/>
      <c r="V21" s="78"/>
      <c r="W21" s="78"/>
      <c r="X21" s="78"/>
      <c r="Y21" s="78"/>
      <c r="Z21" s="78"/>
    </row>
    <row r="22" spans="1:26" ht="12.75" customHeight="1" x14ac:dyDescent="0.2">
      <c r="A22" s="93"/>
      <c r="B22" s="78"/>
      <c r="C22" s="78"/>
      <c r="D22" s="78"/>
      <c r="E22" s="78" t="s">
        <v>114</v>
      </c>
      <c r="F22" s="78"/>
      <c r="G22" s="78"/>
      <c r="H22" s="97">
        <v>-9611.9100000000017</v>
      </c>
      <c r="I22" s="97">
        <v>5061.9100000000008</v>
      </c>
      <c r="J22" s="97">
        <v>1738.5200000000002</v>
      </c>
      <c r="K22" s="97">
        <v>12969.53</v>
      </c>
      <c r="L22" s="92">
        <f t="shared" si="2"/>
        <v>10158.049999999999</v>
      </c>
      <c r="M22" s="97">
        <v>-15081.080000000002</v>
      </c>
      <c r="N22" s="97">
        <v>-8543.36</v>
      </c>
      <c r="O22" s="97">
        <v>3771.2500000000005</v>
      </c>
      <c r="P22" s="97">
        <v>8755.18</v>
      </c>
      <c r="Q22" s="92">
        <f t="shared" si="3"/>
        <v>-11098.010000000002</v>
      </c>
      <c r="R22" s="97">
        <v>-6276.76</v>
      </c>
      <c r="S22" s="78"/>
      <c r="T22" s="78"/>
      <c r="U22" s="78"/>
      <c r="V22" s="78"/>
      <c r="W22" s="78"/>
      <c r="X22" s="78"/>
      <c r="Y22" s="78"/>
      <c r="Z22" s="78"/>
    </row>
    <row r="23" spans="1:26" ht="12.75" customHeight="1" x14ac:dyDescent="0.2">
      <c r="A23" s="93"/>
      <c r="B23" s="78"/>
      <c r="C23" s="78"/>
      <c r="D23" s="78"/>
      <c r="E23" s="78" t="s">
        <v>115</v>
      </c>
      <c r="F23" s="78"/>
      <c r="G23" s="78"/>
      <c r="H23" s="97">
        <v>12452.79</v>
      </c>
      <c r="I23" s="97">
        <v>-12000.1</v>
      </c>
      <c r="J23" s="97">
        <v>18884.18</v>
      </c>
      <c r="K23" s="97">
        <v>-6713.2100000000009</v>
      </c>
      <c r="L23" s="92">
        <f t="shared" si="2"/>
        <v>12623.660000000002</v>
      </c>
      <c r="M23" s="97">
        <v>24553.410000000003</v>
      </c>
      <c r="N23" s="97">
        <v>-16710.330000000002</v>
      </c>
      <c r="O23" s="97">
        <v>14845.04</v>
      </c>
      <c r="P23" s="97">
        <v>-26574.030000000002</v>
      </c>
      <c r="Q23" s="92">
        <f t="shared" si="3"/>
        <v>-3885.91</v>
      </c>
      <c r="R23" s="97">
        <v>12970.930000000002</v>
      </c>
      <c r="S23" s="78"/>
      <c r="T23" s="78"/>
      <c r="U23" s="78"/>
      <c r="V23" s="78"/>
      <c r="W23" s="78"/>
      <c r="X23" s="78"/>
      <c r="Y23" s="78"/>
      <c r="Z23" s="78"/>
    </row>
    <row r="24" spans="1:26" ht="12.75" customHeight="1" x14ac:dyDescent="0.2">
      <c r="A24" s="143"/>
      <c r="B24" s="78"/>
      <c r="C24" s="78"/>
      <c r="D24" s="78"/>
      <c r="E24" s="78" t="s">
        <v>116</v>
      </c>
      <c r="F24" s="78"/>
      <c r="G24" s="78"/>
      <c r="H24" s="97">
        <v>1559.5300000000002</v>
      </c>
      <c r="I24" s="97">
        <v>3296.51</v>
      </c>
      <c r="J24" s="97">
        <v>-331.24</v>
      </c>
      <c r="K24" s="97">
        <v>1869.7000000000003</v>
      </c>
      <c r="L24" s="92">
        <f t="shared" si="2"/>
        <v>6394.5000000000018</v>
      </c>
      <c r="M24" s="97">
        <v>1172.0100000000002</v>
      </c>
      <c r="N24" s="97">
        <v>-726.32</v>
      </c>
      <c r="O24" s="97">
        <v>-3389.4000000000005</v>
      </c>
      <c r="P24" s="97">
        <v>4858.63</v>
      </c>
      <c r="Q24" s="92">
        <f t="shared" si="3"/>
        <v>1914.9199999999996</v>
      </c>
      <c r="R24" s="97">
        <v>-167.3</v>
      </c>
      <c r="S24" s="78"/>
      <c r="T24" s="78"/>
      <c r="U24" s="78"/>
      <c r="V24" s="78"/>
      <c r="W24" s="78"/>
      <c r="X24" s="78"/>
      <c r="Y24" s="78"/>
      <c r="Z24" s="78"/>
    </row>
    <row r="25" spans="1:26" ht="12.75" customHeight="1" x14ac:dyDescent="0.2">
      <c r="A25" s="93"/>
      <c r="B25" s="78"/>
      <c r="C25" s="78"/>
      <c r="D25" s="78"/>
      <c r="E25" s="78" t="s">
        <v>143</v>
      </c>
      <c r="F25" s="78"/>
      <c r="G25" s="78"/>
      <c r="H25" s="98">
        <v>-4295.76</v>
      </c>
      <c r="I25" s="98">
        <v>-5078.01</v>
      </c>
      <c r="J25" s="98">
        <v>-770.98</v>
      </c>
      <c r="K25" s="98">
        <v>-10092.18</v>
      </c>
      <c r="L25" s="92">
        <f t="shared" si="2"/>
        <v>-20236.93</v>
      </c>
      <c r="M25" s="98">
        <v>-11755.170000000002</v>
      </c>
      <c r="N25" s="98">
        <v>8752.8000000000011</v>
      </c>
      <c r="O25" s="98">
        <v>-292.88000000000005</v>
      </c>
      <c r="P25" s="98">
        <v>-11933.460000000001</v>
      </c>
      <c r="Q25" s="92">
        <f t="shared" si="3"/>
        <v>-15228.710000000003</v>
      </c>
      <c r="R25" s="98">
        <v>-4825.59</v>
      </c>
      <c r="S25" s="78"/>
      <c r="T25" s="78"/>
      <c r="U25" s="78"/>
      <c r="V25" s="78"/>
      <c r="W25" s="78"/>
      <c r="X25" s="78"/>
      <c r="Y25" s="78"/>
      <c r="Z25" s="78"/>
    </row>
    <row r="26" spans="1:26" ht="12.75" customHeight="1" x14ac:dyDescent="0.2">
      <c r="A26" s="119"/>
      <c r="B26" s="78"/>
      <c r="C26" s="78"/>
      <c r="D26" s="78"/>
      <c r="E26" s="78"/>
      <c r="F26" s="78"/>
      <c r="G26" s="78" t="s">
        <v>144</v>
      </c>
      <c r="H26" s="147">
        <f t="shared" ref="H26:R26" si="4">SUM(H9:H25)</f>
        <v>54408.619999999995</v>
      </c>
      <c r="I26" s="147">
        <f t="shared" si="4"/>
        <v>-4463.2699999999695</v>
      </c>
      <c r="J26" s="147">
        <f t="shared" si="4"/>
        <v>5766.5300000000116</v>
      </c>
      <c r="K26" s="147">
        <f t="shared" si="4"/>
        <v>-28229.179999999978</v>
      </c>
      <c r="L26" s="148">
        <f t="shared" si="4"/>
        <v>27482.69999999999</v>
      </c>
      <c r="M26" s="147">
        <f t="shared" si="4"/>
        <v>64598.730000000025</v>
      </c>
      <c r="N26" s="147">
        <f t="shared" si="4"/>
        <v>7192.4999999999909</v>
      </c>
      <c r="O26" s="147">
        <f t="shared" si="4"/>
        <v>38976.700000000004</v>
      </c>
      <c r="P26" s="147">
        <f t="shared" si="4"/>
        <v>31070.060000000027</v>
      </c>
      <c r="Q26" s="148">
        <f t="shared" si="4"/>
        <v>141837.99000000022</v>
      </c>
      <c r="R26" s="147">
        <f t="shared" si="4"/>
        <v>61153.400000000009</v>
      </c>
      <c r="S26" s="78"/>
      <c r="T26" s="78"/>
      <c r="U26" s="78"/>
      <c r="V26" s="78"/>
      <c r="W26" s="78"/>
      <c r="X26" s="78"/>
      <c r="Y26" s="78"/>
      <c r="Z26" s="78"/>
    </row>
    <row r="27" spans="1:26" ht="12.75" customHeight="1" x14ac:dyDescent="0.2">
      <c r="A27" s="124" t="s">
        <v>145</v>
      </c>
      <c r="B27" s="109"/>
      <c r="C27" s="78"/>
      <c r="D27" s="78"/>
      <c r="E27" s="78"/>
      <c r="F27" s="78"/>
      <c r="G27" s="78"/>
      <c r="H27" s="78"/>
      <c r="I27" s="78"/>
      <c r="J27" s="78"/>
      <c r="K27" s="78"/>
      <c r="L27" s="92"/>
      <c r="M27" s="78"/>
      <c r="N27" s="78"/>
      <c r="O27" s="78"/>
      <c r="P27" s="78"/>
      <c r="Q27" s="92"/>
      <c r="R27" s="78"/>
      <c r="S27" s="78"/>
      <c r="T27" s="78"/>
      <c r="U27" s="78"/>
      <c r="V27" s="78"/>
      <c r="W27" s="78"/>
      <c r="X27" s="78"/>
      <c r="Y27" s="78"/>
      <c r="Z27" s="78"/>
    </row>
    <row r="28" spans="1:26" ht="12.75" customHeight="1" x14ac:dyDescent="0.2">
      <c r="A28" s="143"/>
      <c r="B28" s="78" t="s">
        <v>146</v>
      </c>
      <c r="C28" s="78"/>
      <c r="D28" s="78"/>
      <c r="E28" s="78"/>
      <c r="F28" s="78"/>
      <c r="G28" s="78"/>
      <c r="H28" s="97">
        <v>-5670.0700000000006</v>
      </c>
      <c r="I28" s="97">
        <v>-7719.4600000000009</v>
      </c>
      <c r="J28" s="97">
        <v>-11712.890000000001</v>
      </c>
      <c r="K28" s="97">
        <v>-11618.53</v>
      </c>
      <c r="L28" s="92">
        <f t="shared" ref="L28:L30" si="5">SUM(H28:K28)</f>
        <v>-36720.950000000004</v>
      </c>
      <c r="M28" s="97">
        <v>-8481.0600000000013</v>
      </c>
      <c r="N28" s="97">
        <v>-6301.26</v>
      </c>
      <c r="O28" s="97">
        <v>-5947.2000000000007</v>
      </c>
      <c r="P28" s="97">
        <v>-7811.5100000000011</v>
      </c>
      <c r="Q28" s="92">
        <f t="shared" ref="Q28:Q31" si="6">SUM(M28:P28)</f>
        <v>-28541.030000000006</v>
      </c>
      <c r="R28" s="97">
        <v>-4341.3300000000008</v>
      </c>
      <c r="S28" s="78"/>
      <c r="T28" s="78"/>
      <c r="U28" s="78"/>
      <c r="V28" s="78"/>
      <c r="W28" s="78"/>
      <c r="X28" s="78"/>
      <c r="Y28" s="78"/>
      <c r="Z28" s="78"/>
    </row>
    <row r="29" spans="1:26" ht="12.75" customHeight="1" x14ac:dyDescent="0.2">
      <c r="A29" s="143"/>
      <c r="B29" s="78" t="s">
        <v>147</v>
      </c>
      <c r="C29" s="78"/>
      <c r="D29" s="78"/>
      <c r="E29" s="78"/>
      <c r="F29" s="78"/>
      <c r="G29" s="78"/>
      <c r="H29" s="97">
        <v>-323.05</v>
      </c>
      <c r="I29" s="97">
        <v>-70</v>
      </c>
      <c r="J29" s="97">
        <v>-1491.2800000000002</v>
      </c>
      <c r="K29" s="97">
        <v>0</v>
      </c>
      <c r="L29" s="92">
        <f t="shared" si="5"/>
        <v>-1884.3300000000002</v>
      </c>
      <c r="M29" s="97">
        <v>0</v>
      </c>
      <c r="N29" s="97">
        <v>0</v>
      </c>
      <c r="O29" s="97">
        <v>0</v>
      </c>
      <c r="P29" s="97">
        <v>0</v>
      </c>
      <c r="Q29" s="92">
        <f t="shared" si="6"/>
        <v>0</v>
      </c>
      <c r="R29" s="97">
        <v>0</v>
      </c>
      <c r="S29" s="78"/>
      <c r="T29" s="78"/>
      <c r="U29" s="78"/>
      <c r="V29" s="78"/>
      <c r="W29" s="78"/>
      <c r="X29" s="78"/>
      <c r="Y29" s="78"/>
      <c r="Z29" s="78"/>
    </row>
    <row r="30" spans="1:26" ht="12.75" customHeight="1" x14ac:dyDescent="0.2">
      <c r="A30" s="143"/>
      <c r="B30" s="78" t="s">
        <v>148</v>
      </c>
      <c r="C30" s="78"/>
      <c r="D30" s="78"/>
      <c r="E30" s="78"/>
      <c r="F30" s="78"/>
      <c r="G30" s="78"/>
      <c r="H30" s="97">
        <v>0</v>
      </c>
      <c r="I30" s="97">
        <v>0</v>
      </c>
      <c r="J30" s="97">
        <v>0</v>
      </c>
      <c r="K30" s="97">
        <v>-55184.430000000008</v>
      </c>
      <c r="L30" s="92">
        <f t="shared" si="5"/>
        <v>-55184.430000000008</v>
      </c>
      <c r="M30" s="97">
        <v>-8716.4700000000012</v>
      </c>
      <c r="N30" s="97">
        <v>-4821.3200000000006</v>
      </c>
      <c r="O30" s="97">
        <v>0</v>
      </c>
      <c r="P30" s="97">
        <v>-39479.300000000003</v>
      </c>
      <c r="Q30" s="92">
        <f t="shared" si="6"/>
        <v>-53017.090000000004</v>
      </c>
      <c r="R30" s="97">
        <v>0</v>
      </c>
      <c r="S30" s="78"/>
      <c r="T30" s="78"/>
      <c r="U30" s="78"/>
      <c r="V30" s="78"/>
      <c r="W30" s="78"/>
      <c r="X30" s="78"/>
      <c r="Y30" s="78"/>
      <c r="Z30" s="78"/>
    </row>
    <row r="31" spans="1:26" ht="12.75" customHeight="1" x14ac:dyDescent="0.2">
      <c r="A31" s="143"/>
      <c r="B31" s="78" t="s">
        <v>149</v>
      </c>
      <c r="C31" s="78"/>
      <c r="D31" s="78"/>
      <c r="E31" s="78"/>
      <c r="F31" s="78"/>
      <c r="G31" s="78"/>
      <c r="H31" s="97">
        <v>0</v>
      </c>
      <c r="I31" s="97">
        <v>0</v>
      </c>
      <c r="J31" s="97">
        <v>0</v>
      </c>
      <c r="K31" s="97">
        <v>0</v>
      </c>
      <c r="L31" s="92">
        <v>0</v>
      </c>
      <c r="M31" s="97">
        <v>0</v>
      </c>
      <c r="N31" s="97">
        <v>0</v>
      </c>
      <c r="O31" s="97">
        <v>0</v>
      </c>
      <c r="P31" s="97">
        <v>-63789.320000000007</v>
      </c>
      <c r="Q31" s="92">
        <f t="shared" si="6"/>
        <v>-63789.320000000007</v>
      </c>
      <c r="R31" s="97">
        <v>-14114.380000000001</v>
      </c>
      <c r="S31" s="78"/>
      <c r="T31" s="78"/>
      <c r="U31" s="78"/>
      <c r="V31" s="78"/>
      <c r="W31" s="78"/>
      <c r="X31" s="78"/>
      <c r="Y31" s="78"/>
      <c r="Z31" s="78"/>
    </row>
    <row r="32" spans="1:26" ht="12.75" customHeight="1" x14ac:dyDescent="0.2">
      <c r="A32" s="93"/>
      <c r="B32" s="78"/>
      <c r="C32" s="78"/>
      <c r="D32" s="78"/>
      <c r="E32" s="78"/>
      <c r="F32" s="78"/>
      <c r="G32" s="78" t="s">
        <v>150</v>
      </c>
      <c r="H32" s="147">
        <f t="shared" ref="H32:R32" si="7">SUM(H28:H31)</f>
        <v>-5993.1200000000008</v>
      </c>
      <c r="I32" s="147">
        <f t="shared" si="7"/>
        <v>-7789.4600000000009</v>
      </c>
      <c r="J32" s="147">
        <f t="shared" si="7"/>
        <v>-13204.170000000002</v>
      </c>
      <c r="K32" s="147">
        <f t="shared" si="7"/>
        <v>-66802.960000000006</v>
      </c>
      <c r="L32" s="148">
        <f t="shared" si="7"/>
        <v>-93789.710000000021</v>
      </c>
      <c r="M32" s="147">
        <f t="shared" si="7"/>
        <v>-17197.530000000002</v>
      </c>
      <c r="N32" s="147">
        <f t="shared" si="7"/>
        <v>-11122.580000000002</v>
      </c>
      <c r="O32" s="147">
        <f t="shared" si="7"/>
        <v>-5947.2000000000007</v>
      </c>
      <c r="P32" s="147">
        <f t="shared" si="7"/>
        <v>-111080.13</v>
      </c>
      <c r="Q32" s="148">
        <f t="shared" si="7"/>
        <v>-145347.44</v>
      </c>
      <c r="R32" s="147">
        <f t="shared" si="7"/>
        <v>-18455.710000000003</v>
      </c>
      <c r="S32" s="78"/>
      <c r="T32" s="78"/>
      <c r="U32" s="78"/>
      <c r="V32" s="78"/>
      <c r="W32" s="78"/>
      <c r="X32" s="78"/>
      <c r="Y32" s="78"/>
      <c r="Z32" s="78"/>
    </row>
    <row r="33" spans="1:26" ht="12.75" customHeight="1" x14ac:dyDescent="0.2">
      <c r="A33" s="124" t="s">
        <v>151</v>
      </c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92"/>
      <c r="M33" s="78"/>
      <c r="N33" s="78"/>
      <c r="O33" s="78"/>
      <c r="P33" s="78"/>
      <c r="Q33" s="92"/>
      <c r="R33" s="78"/>
      <c r="S33" s="78"/>
      <c r="T33" s="78"/>
      <c r="U33" s="78"/>
      <c r="V33" s="78"/>
      <c r="W33" s="78"/>
      <c r="X33" s="78"/>
      <c r="Y33" s="78"/>
      <c r="Z33" s="78"/>
    </row>
    <row r="34" spans="1:26" ht="12.75" hidden="1" customHeight="1" x14ac:dyDescent="0.2">
      <c r="A34" s="119"/>
      <c r="B34" s="78" t="s">
        <v>152</v>
      </c>
      <c r="C34" s="78"/>
      <c r="D34" s="78"/>
      <c r="E34" s="78"/>
      <c r="F34" s="78"/>
      <c r="G34" s="78"/>
      <c r="H34" s="93">
        <v>0</v>
      </c>
      <c r="I34" s="93">
        <v>0</v>
      </c>
      <c r="J34" s="93">
        <v>0</v>
      </c>
      <c r="K34" s="93">
        <v>0</v>
      </c>
      <c r="L34" s="92">
        <f t="shared" ref="L34:L39" si="8">SUM(H34:K34)</f>
        <v>0</v>
      </c>
      <c r="M34" s="93">
        <v>0</v>
      </c>
      <c r="N34" s="93">
        <v>0</v>
      </c>
      <c r="O34" s="93">
        <v>0</v>
      </c>
      <c r="P34" s="93">
        <v>0</v>
      </c>
      <c r="Q34" s="92">
        <f t="shared" ref="Q34:Q39" si="9">SUM(M34:P34)</f>
        <v>0</v>
      </c>
      <c r="R34" s="93">
        <v>0</v>
      </c>
      <c r="S34" s="78"/>
      <c r="T34" s="78"/>
      <c r="U34" s="78"/>
      <c r="V34" s="78"/>
      <c r="W34" s="78"/>
      <c r="X34" s="78"/>
      <c r="Y34" s="78"/>
      <c r="Z34" s="78"/>
    </row>
    <row r="35" spans="1:26" ht="12.75" hidden="1" customHeight="1" x14ac:dyDescent="0.2">
      <c r="A35" s="119"/>
      <c r="B35" s="78" t="s">
        <v>153</v>
      </c>
      <c r="C35" s="78"/>
      <c r="D35" s="78"/>
      <c r="E35" s="78"/>
      <c r="F35" s="78"/>
      <c r="G35" s="78"/>
      <c r="H35" s="93">
        <v>0</v>
      </c>
      <c r="I35" s="93">
        <v>0</v>
      </c>
      <c r="J35" s="93">
        <v>0</v>
      </c>
      <c r="K35" s="93">
        <v>0</v>
      </c>
      <c r="L35" s="92">
        <f t="shared" si="8"/>
        <v>0</v>
      </c>
      <c r="M35" s="93">
        <v>0</v>
      </c>
      <c r="N35" s="93">
        <v>0</v>
      </c>
      <c r="O35" s="93">
        <v>0</v>
      </c>
      <c r="P35" s="93">
        <v>0</v>
      </c>
      <c r="Q35" s="92">
        <f t="shared" si="9"/>
        <v>0</v>
      </c>
      <c r="R35" s="93">
        <v>0</v>
      </c>
      <c r="S35" s="78"/>
      <c r="T35" s="78"/>
      <c r="U35" s="78"/>
      <c r="V35" s="78"/>
      <c r="W35" s="78"/>
      <c r="X35" s="78"/>
      <c r="Y35" s="78"/>
      <c r="Z35" s="78"/>
    </row>
    <row r="36" spans="1:26" ht="12.75" customHeight="1" x14ac:dyDescent="0.2">
      <c r="A36" s="119"/>
      <c r="B36" s="78" t="s">
        <v>154</v>
      </c>
      <c r="C36" s="78"/>
      <c r="D36" s="78"/>
      <c r="E36" s="78"/>
      <c r="F36" s="78"/>
      <c r="G36" s="78"/>
      <c r="H36" s="97">
        <v>-500000</v>
      </c>
      <c r="I36" s="97">
        <v>0</v>
      </c>
      <c r="J36" s="97">
        <v>0</v>
      </c>
      <c r="K36" s="97">
        <v>0</v>
      </c>
      <c r="L36" s="92">
        <f t="shared" si="8"/>
        <v>-500000</v>
      </c>
      <c r="M36" s="97">
        <v>-700000</v>
      </c>
      <c r="N36" s="97">
        <v>0</v>
      </c>
      <c r="O36" s="97">
        <v>0</v>
      </c>
      <c r="P36" s="97">
        <v>0</v>
      </c>
      <c r="Q36" s="92">
        <f t="shared" si="9"/>
        <v>-700000</v>
      </c>
      <c r="R36" s="97">
        <v>0</v>
      </c>
      <c r="S36" s="78"/>
      <c r="T36" s="78"/>
      <c r="U36" s="78"/>
      <c r="V36" s="78"/>
      <c r="W36" s="78"/>
      <c r="X36" s="78"/>
      <c r="Y36" s="78"/>
      <c r="Z36" s="78"/>
    </row>
    <row r="37" spans="1:26" ht="12.75" customHeight="1" x14ac:dyDescent="0.2">
      <c r="A37" s="119"/>
      <c r="B37" s="78" t="s">
        <v>155</v>
      </c>
      <c r="C37" s="78"/>
      <c r="D37" s="78"/>
      <c r="E37" s="78"/>
      <c r="F37" s="78"/>
      <c r="G37" s="78"/>
      <c r="H37" s="97">
        <v>48071</v>
      </c>
      <c r="I37" s="97">
        <v>19749</v>
      </c>
      <c r="J37" s="97">
        <v>18445</v>
      </c>
      <c r="K37" s="97">
        <v>88149</v>
      </c>
      <c r="L37" s="92">
        <f t="shared" si="8"/>
        <v>174414</v>
      </c>
      <c r="M37" s="97">
        <v>13678</v>
      </c>
      <c r="N37" s="97">
        <v>11250</v>
      </c>
      <c r="O37" s="97">
        <v>4113</v>
      </c>
      <c r="P37" s="97">
        <v>6705</v>
      </c>
      <c r="Q37" s="92">
        <f t="shared" si="9"/>
        <v>35746</v>
      </c>
      <c r="R37" s="97">
        <v>26028</v>
      </c>
      <c r="S37" s="78"/>
      <c r="T37" s="78"/>
      <c r="U37" s="78"/>
      <c r="V37" s="78"/>
      <c r="W37" s="78"/>
      <c r="X37" s="78"/>
      <c r="Y37" s="78"/>
      <c r="Z37" s="78"/>
    </row>
    <row r="38" spans="1:26" ht="12.75" customHeight="1" x14ac:dyDescent="0.2">
      <c r="A38" s="119"/>
      <c r="B38" s="78" t="s">
        <v>156</v>
      </c>
      <c r="C38" s="78"/>
      <c r="D38" s="78"/>
      <c r="E38" s="78"/>
      <c r="F38" s="78"/>
      <c r="G38" s="78"/>
      <c r="H38" s="97">
        <v>0</v>
      </c>
      <c r="I38" s="97">
        <v>-500022</v>
      </c>
      <c r="J38" s="97">
        <v>-100000</v>
      </c>
      <c r="K38" s="97">
        <v>0</v>
      </c>
      <c r="L38" s="92">
        <f t="shared" si="8"/>
        <v>-600022</v>
      </c>
      <c r="M38" s="97">
        <v>0</v>
      </c>
      <c r="N38" s="97">
        <v>0</v>
      </c>
      <c r="O38" s="97">
        <v>0</v>
      </c>
      <c r="P38" s="97">
        <v>0</v>
      </c>
      <c r="Q38" s="92">
        <f t="shared" si="9"/>
        <v>0</v>
      </c>
      <c r="R38" s="97">
        <v>-400101</v>
      </c>
      <c r="S38" s="78"/>
      <c r="T38" s="78"/>
      <c r="U38" s="78"/>
      <c r="V38" s="78"/>
      <c r="W38" s="78"/>
      <c r="X38" s="78"/>
      <c r="Y38" s="78"/>
      <c r="Z38" s="78"/>
    </row>
    <row r="39" spans="1:26" ht="12.75" customHeight="1" x14ac:dyDescent="0.2">
      <c r="A39" s="119"/>
      <c r="B39" s="78" t="s">
        <v>157</v>
      </c>
      <c r="C39" s="78"/>
      <c r="D39" s="78"/>
      <c r="E39" s="78"/>
      <c r="F39" s="78"/>
      <c r="G39" s="78"/>
      <c r="H39" s="97">
        <v>0</v>
      </c>
      <c r="I39" s="97">
        <v>0</v>
      </c>
      <c r="J39" s="97">
        <v>0</v>
      </c>
      <c r="K39" s="97">
        <v>-224168</v>
      </c>
      <c r="L39" s="92">
        <f t="shared" si="8"/>
        <v>-224168</v>
      </c>
      <c r="M39" s="97">
        <v>0</v>
      </c>
      <c r="N39" s="97">
        <v>0</v>
      </c>
      <c r="O39" s="97">
        <v>0</v>
      </c>
      <c r="P39" s="97">
        <v>0</v>
      </c>
      <c r="Q39" s="92">
        <f t="shared" si="9"/>
        <v>0</v>
      </c>
      <c r="R39" s="97">
        <v>0</v>
      </c>
      <c r="S39" s="78"/>
      <c r="T39" s="78"/>
      <c r="U39" s="78"/>
      <c r="V39" s="78"/>
      <c r="W39" s="78"/>
      <c r="X39" s="78"/>
      <c r="Y39" s="78"/>
      <c r="Z39" s="78"/>
    </row>
    <row r="40" spans="1:26" ht="12.75" customHeight="1" x14ac:dyDescent="0.2">
      <c r="A40" s="119"/>
      <c r="B40" s="78"/>
      <c r="C40" s="78"/>
      <c r="D40" s="78"/>
      <c r="E40" s="78"/>
      <c r="F40" s="78"/>
      <c r="G40" s="78" t="s">
        <v>158</v>
      </c>
      <c r="H40" s="147">
        <f t="shared" ref="H40:R40" si="10">SUM(H34:H39)</f>
        <v>-451929</v>
      </c>
      <c r="I40" s="147">
        <f t="shared" si="10"/>
        <v>-480273</v>
      </c>
      <c r="J40" s="147">
        <f t="shared" si="10"/>
        <v>-81555</v>
      </c>
      <c r="K40" s="147">
        <f t="shared" si="10"/>
        <v>-136019</v>
      </c>
      <c r="L40" s="148">
        <f t="shared" si="10"/>
        <v>-1149776</v>
      </c>
      <c r="M40" s="147">
        <f t="shared" si="10"/>
        <v>-686322</v>
      </c>
      <c r="N40" s="147">
        <f t="shared" si="10"/>
        <v>11250</v>
      </c>
      <c r="O40" s="147">
        <f t="shared" si="10"/>
        <v>4113</v>
      </c>
      <c r="P40" s="147">
        <f t="shared" si="10"/>
        <v>6705</v>
      </c>
      <c r="Q40" s="148">
        <f t="shared" si="10"/>
        <v>-664254</v>
      </c>
      <c r="R40" s="147">
        <f t="shared" si="10"/>
        <v>-374073</v>
      </c>
      <c r="S40" s="78"/>
      <c r="T40" s="78"/>
      <c r="U40" s="78"/>
      <c r="V40" s="78"/>
      <c r="W40" s="78"/>
      <c r="X40" s="78"/>
      <c r="Y40" s="78"/>
      <c r="Z40" s="78"/>
    </row>
    <row r="41" spans="1:26" ht="12.75" customHeight="1" x14ac:dyDescent="0.2">
      <c r="A41" s="119"/>
      <c r="B41" s="78"/>
      <c r="C41" s="78"/>
      <c r="D41" s="78"/>
      <c r="E41" s="78"/>
      <c r="F41" s="78"/>
      <c r="G41" s="78"/>
      <c r="H41" s="93"/>
      <c r="I41" s="93"/>
      <c r="J41" s="93"/>
      <c r="K41" s="93"/>
      <c r="L41" s="92"/>
      <c r="M41" s="93"/>
      <c r="N41" s="93"/>
      <c r="O41" s="93"/>
      <c r="P41" s="93"/>
      <c r="Q41" s="92"/>
      <c r="R41" s="93"/>
      <c r="S41" s="78"/>
      <c r="T41" s="78"/>
      <c r="U41" s="78"/>
      <c r="V41" s="78"/>
      <c r="W41" s="78"/>
      <c r="X41" s="78"/>
      <c r="Y41" s="78"/>
      <c r="Z41" s="78"/>
    </row>
    <row r="42" spans="1:26" ht="12.75" customHeight="1" x14ac:dyDescent="0.2">
      <c r="A42" s="119" t="s">
        <v>159</v>
      </c>
      <c r="B42" s="78"/>
      <c r="C42" s="78"/>
      <c r="D42" s="78"/>
      <c r="E42" s="78"/>
      <c r="F42" s="78"/>
      <c r="G42" s="78"/>
      <c r="H42" s="97">
        <v>-2949.6600000000003</v>
      </c>
      <c r="I42" s="97">
        <v>1643.39</v>
      </c>
      <c r="J42" s="97">
        <v>-4469.01</v>
      </c>
      <c r="K42" s="97">
        <v>-296.52000000000004</v>
      </c>
      <c r="L42" s="92">
        <f t="shared" ref="L42:L43" si="11">SUM(H42:K42)</f>
        <v>-6071.8000000000011</v>
      </c>
      <c r="M42" s="97">
        <v>-801.36000000000013</v>
      </c>
      <c r="N42" s="97">
        <v>-10163.86</v>
      </c>
      <c r="O42" s="97">
        <v>-12604.060000000001</v>
      </c>
      <c r="P42" s="97">
        <v>11659.480000000001</v>
      </c>
      <c r="Q42" s="92">
        <f t="shared" ref="Q42:Q43" si="12">SUM(M42:P42)</f>
        <v>-11909.800000000001</v>
      </c>
      <c r="R42" s="97">
        <v>1849.6100000000001</v>
      </c>
      <c r="S42" s="78"/>
      <c r="T42" s="78"/>
      <c r="U42" s="78"/>
      <c r="V42" s="78"/>
      <c r="W42" s="78"/>
      <c r="X42" s="78"/>
      <c r="Y42" s="78"/>
      <c r="Z42" s="78"/>
    </row>
    <row r="43" spans="1:26" ht="12.75" customHeight="1" x14ac:dyDescent="0.2">
      <c r="A43" s="119" t="s">
        <v>160</v>
      </c>
      <c r="B43" s="78"/>
      <c r="C43" s="78"/>
      <c r="D43" s="78"/>
      <c r="E43" s="78"/>
      <c r="F43" s="78"/>
      <c r="G43" s="78"/>
      <c r="H43" s="97">
        <v>13830.810000000001</v>
      </c>
      <c r="I43" s="97">
        <v>-44228.450000000004</v>
      </c>
      <c r="J43" s="97">
        <v>-17615.5</v>
      </c>
      <c r="K43" s="97">
        <v>-104849.99</v>
      </c>
      <c r="L43" s="92">
        <f t="shared" si="11"/>
        <v>-152863.13</v>
      </c>
      <c r="M43" s="97">
        <v>-1442.7</v>
      </c>
      <c r="N43" s="97">
        <v>-13306.44</v>
      </c>
      <c r="O43" s="97">
        <v>20713.350000000002</v>
      </c>
      <c r="P43" s="97">
        <v>-67881.240000000005</v>
      </c>
      <c r="Q43" s="92">
        <f t="shared" si="12"/>
        <v>-61917.030000000006</v>
      </c>
      <c r="R43" s="97">
        <v>109720.59000000001</v>
      </c>
      <c r="S43" s="78"/>
      <c r="T43" s="78"/>
      <c r="U43" s="78"/>
      <c r="V43" s="78"/>
      <c r="W43" s="78"/>
      <c r="X43" s="78"/>
      <c r="Y43" s="78"/>
      <c r="Z43" s="78"/>
    </row>
    <row r="44" spans="1:26" ht="12.75" customHeight="1" x14ac:dyDescent="0.2">
      <c r="A44" s="119" t="s">
        <v>161</v>
      </c>
      <c r="B44" s="78"/>
      <c r="C44" s="78"/>
      <c r="D44" s="78"/>
      <c r="E44" s="78"/>
      <c r="F44" s="78"/>
      <c r="G44" s="78"/>
      <c r="H44" s="97">
        <v>576720.9</v>
      </c>
      <c r="I44" s="97">
        <v>590551.71000000008</v>
      </c>
      <c r="J44" s="97">
        <v>546323.26</v>
      </c>
      <c r="K44" s="97">
        <v>528707.76</v>
      </c>
      <c r="L44" s="92">
        <v>8238870</v>
      </c>
      <c r="M44" s="97">
        <v>423857.77</v>
      </c>
      <c r="N44" s="97">
        <v>422415.07000000007</v>
      </c>
      <c r="O44" s="97">
        <v>409108.63000000006</v>
      </c>
      <c r="P44" s="97">
        <v>429821.98000000004</v>
      </c>
      <c r="Q44" s="92">
        <v>6055111</v>
      </c>
      <c r="R44" s="97">
        <v>361940.74000000005</v>
      </c>
      <c r="S44" s="78"/>
      <c r="T44" s="78"/>
      <c r="U44" s="78"/>
      <c r="V44" s="78"/>
      <c r="W44" s="78"/>
      <c r="X44" s="78"/>
      <c r="Y44" s="78"/>
      <c r="Z44" s="78"/>
    </row>
    <row r="45" spans="1:26" ht="12.75" customHeight="1" x14ac:dyDescent="0.2">
      <c r="A45" s="88" t="s">
        <v>162</v>
      </c>
      <c r="B45" s="78"/>
      <c r="C45" s="78"/>
      <c r="D45" s="78"/>
      <c r="E45" s="78"/>
      <c r="F45" s="78"/>
      <c r="G45" s="78"/>
      <c r="H45" s="149">
        <f t="shared" ref="H45:R45" si="13">SUM(H43:H44)</f>
        <v>590551.71000000008</v>
      </c>
      <c r="I45" s="149">
        <f t="shared" si="13"/>
        <v>546323.26000000013</v>
      </c>
      <c r="J45" s="149">
        <f t="shared" si="13"/>
        <v>528707.76</v>
      </c>
      <c r="K45" s="149">
        <f t="shared" si="13"/>
        <v>423857.77</v>
      </c>
      <c r="L45" s="150">
        <f t="shared" si="13"/>
        <v>8086006.8700000001</v>
      </c>
      <c r="M45" s="149">
        <f t="shared" si="13"/>
        <v>422415.07</v>
      </c>
      <c r="N45" s="149">
        <f t="shared" si="13"/>
        <v>409108.63000000006</v>
      </c>
      <c r="O45" s="149">
        <f t="shared" si="13"/>
        <v>429821.98000000004</v>
      </c>
      <c r="P45" s="149">
        <f t="shared" si="13"/>
        <v>361940.74000000005</v>
      </c>
      <c r="Q45" s="150">
        <f t="shared" si="13"/>
        <v>5993193.9699999997</v>
      </c>
      <c r="R45" s="149">
        <f t="shared" si="13"/>
        <v>471661.33000000007</v>
      </c>
      <c r="S45" s="78"/>
      <c r="T45" s="78"/>
      <c r="U45" s="78"/>
      <c r="V45" s="78"/>
      <c r="W45" s="78"/>
      <c r="X45" s="78"/>
      <c r="Y45" s="78"/>
      <c r="Z45" s="78"/>
    </row>
    <row r="46" spans="1:26" ht="12.75" customHeight="1" x14ac:dyDescent="0.2">
      <c r="A46" s="151"/>
      <c r="B46" s="78"/>
      <c r="C46" s="78"/>
      <c r="D46" s="78"/>
      <c r="E46" s="78"/>
      <c r="F46" s="78"/>
      <c r="G46" s="78"/>
      <c r="H46" s="78"/>
      <c r="I46" s="78"/>
      <c r="J46" s="78"/>
      <c r="K46" s="78"/>
      <c r="L46" s="92"/>
      <c r="M46" s="78"/>
      <c r="N46" s="78"/>
      <c r="O46" s="78"/>
      <c r="P46" s="78"/>
      <c r="Q46" s="92"/>
      <c r="R46" s="78"/>
      <c r="S46" s="78"/>
      <c r="T46" s="78"/>
      <c r="U46" s="78"/>
      <c r="V46" s="78"/>
      <c r="W46" s="78"/>
      <c r="X46" s="78"/>
      <c r="Y46" s="78"/>
      <c r="Z46" s="78"/>
    </row>
    <row r="47" spans="1:26" ht="12.75" customHeight="1" x14ac:dyDescent="0.2">
      <c r="A47" s="152" t="s">
        <v>163</v>
      </c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87"/>
      <c r="M47" s="78"/>
      <c r="N47" s="78"/>
      <c r="O47" s="78"/>
      <c r="P47" s="78"/>
      <c r="Q47" s="87"/>
      <c r="R47" s="78"/>
      <c r="S47" s="78"/>
      <c r="T47" s="78"/>
      <c r="U47" s="78"/>
      <c r="V47" s="78"/>
      <c r="W47" s="78"/>
      <c r="X47" s="78"/>
      <c r="Y47" s="78"/>
      <c r="Z47" s="78"/>
    </row>
    <row r="48" spans="1:26" ht="12.75" customHeight="1" x14ac:dyDescent="0.2">
      <c r="A48" s="153"/>
      <c r="B48" s="78" t="s">
        <v>144</v>
      </c>
      <c r="C48" s="78"/>
      <c r="D48" s="78"/>
      <c r="E48" s="78"/>
      <c r="F48" s="78"/>
      <c r="G48" s="78"/>
      <c r="H48" s="145">
        <f t="shared" ref="H48:R48" si="14">H26</f>
        <v>54408.619999999995</v>
      </c>
      <c r="I48" s="145">
        <f t="shared" si="14"/>
        <v>-4463.2699999999695</v>
      </c>
      <c r="J48" s="145">
        <f t="shared" si="14"/>
        <v>5766.5300000000116</v>
      </c>
      <c r="K48" s="145">
        <f t="shared" si="14"/>
        <v>-28229.179999999978</v>
      </c>
      <c r="L48" s="146">
        <f t="shared" si="14"/>
        <v>27482.69999999999</v>
      </c>
      <c r="M48" s="145">
        <f t="shared" si="14"/>
        <v>64598.730000000025</v>
      </c>
      <c r="N48" s="145">
        <f t="shared" si="14"/>
        <v>7192.4999999999909</v>
      </c>
      <c r="O48" s="145">
        <f t="shared" si="14"/>
        <v>38976.700000000004</v>
      </c>
      <c r="P48" s="145">
        <f t="shared" si="14"/>
        <v>31070.060000000027</v>
      </c>
      <c r="Q48" s="146">
        <f t="shared" si="14"/>
        <v>141837.99000000022</v>
      </c>
      <c r="R48" s="145">
        <f t="shared" si="14"/>
        <v>61153.400000000009</v>
      </c>
      <c r="S48" s="78"/>
      <c r="T48" s="78"/>
      <c r="U48" s="78"/>
      <c r="V48" s="78"/>
      <c r="W48" s="78"/>
      <c r="X48" s="78"/>
      <c r="Y48" s="78"/>
      <c r="Z48" s="78"/>
    </row>
    <row r="49" spans="1:26" ht="12.75" customHeight="1" x14ac:dyDescent="0.2">
      <c r="A49" s="143"/>
      <c r="B49" s="78" t="s">
        <v>146</v>
      </c>
      <c r="C49" s="78"/>
      <c r="D49" s="78"/>
      <c r="E49" s="78"/>
      <c r="F49" s="78"/>
      <c r="G49" s="78"/>
      <c r="H49" s="97">
        <f t="shared" ref="H49:R49" si="15">H28</f>
        <v>-5670.0700000000006</v>
      </c>
      <c r="I49" s="97">
        <f t="shared" si="15"/>
        <v>-7719.4600000000009</v>
      </c>
      <c r="J49" s="97">
        <f t="shared" si="15"/>
        <v>-11712.890000000001</v>
      </c>
      <c r="K49" s="97">
        <f t="shared" si="15"/>
        <v>-11618.53</v>
      </c>
      <c r="L49" s="92">
        <f t="shared" si="15"/>
        <v>-36720.950000000004</v>
      </c>
      <c r="M49" s="97">
        <f t="shared" si="15"/>
        <v>-8481.0600000000013</v>
      </c>
      <c r="N49" s="97">
        <f t="shared" si="15"/>
        <v>-6301.26</v>
      </c>
      <c r="O49" s="97">
        <f t="shared" si="15"/>
        <v>-5947.2000000000007</v>
      </c>
      <c r="P49" s="97">
        <f t="shared" si="15"/>
        <v>-7811.5100000000011</v>
      </c>
      <c r="Q49" s="92">
        <f t="shared" si="15"/>
        <v>-28541.030000000006</v>
      </c>
      <c r="R49" s="97">
        <f t="shared" si="15"/>
        <v>-4341.3300000000008</v>
      </c>
      <c r="S49" s="78"/>
      <c r="T49" s="78"/>
      <c r="U49" s="78"/>
      <c r="V49" s="78"/>
      <c r="W49" s="78"/>
      <c r="X49" s="78"/>
      <c r="Y49" s="78"/>
      <c r="Z49" s="78"/>
    </row>
    <row r="50" spans="1:26" ht="12.75" customHeight="1" x14ac:dyDescent="0.2">
      <c r="A50" s="143"/>
      <c r="B50" s="78" t="s">
        <v>147</v>
      </c>
      <c r="C50" s="78"/>
      <c r="D50" s="78"/>
      <c r="E50" s="78"/>
      <c r="F50" s="78"/>
      <c r="G50" s="78"/>
      <c r="H50" s="97">
        <f t="shared" ref="H50:R50" si="16">H29</f>
        <v>-323.05</v>
      </c>
      <c r="I50" s="97">
        <f t="shared" si="16"/>
        <v>-70</v>
      </c>
      <c r="J50" s="97">
        <f t="shared" si="16"/>
        <v>-1491.2800000000002</v>
      </c>
      <c r="K50" s="97">
        <f t="shared" si="16"/>
        <v>0</v>
      </c>
      <c r="L50" s="92">
        <f t="shared" si="16"/>
        <v>-1884.3300000000002</v>
      </c>
      <c r="M50" s="97">
        <f t="shared" si="16"/>
        <v>0</v>
      </c>
      <c r="N50" s="97">
        <f t="shared" si="16"/>
        <v>0</v>
      </c>
      <c r="O50" s="97">
        <f t="shared" si="16"/>
        <v>0</v>
      </c>
      <c r="P50" s="97">
        <f t="shared" si="16"/>
        <v>0</v>
      </c>
      <c r="Q50" s="92">
        <f t="shared" si="16"/>
        <v>0</v>
      </c>
      <c r="R50" s="97">
        <f t="shared" si="16"/>
        <v>0</v>
      </c>
      <c r="S50" s="78"/>
      <c r="T50" s="78"/>
      <c r="U50" s="78"/>
      <c r="V50" s="78"/>
      <c r="W50" s="78"/>
      <c r="X50" s="78"/>
      <c r="Y50" s="78"/>
      <c r="Z50" s="78"/>
    </row>
    <row r="51" spans="1:26" ht="12.75" customHeight="1" x14ac:dyDescent="0.2">
      <c r="A51" s="154"/>
      <c r="B51" s="109" t="s">
        <v>164</v>
      </c>
      <c r="C51" s="109"/>
      <c r="D51" s="109"/>
      <c r="E51" s="109"/>
      <c r="F51" s="109"/>
      <c r="G51" s="78"/>
      <c r="H51" s="149">
        <f t="shared" ref="H51:R51" si="17">SUM(H48:H50)</f>
        <v>48415.499999999993</v>
      </c>
      <c r="I51" s="149">
        <f t="shared" si="17"/>
        <v>-12252.72999999997</v>
      </c>
      <c r="J51" s="149">
        <f t="shared" si="17"/>
        <v>-7437.6399999999903</v>
      </c>
      <c r="K51" s="149">
        <f t="shared" si="17"/>
        <v>-39847.709999999977</v>
      </c>
      <c r="L51" s="150">
        <f t="shared" si="17"/>
        <v>-11122.580000000014</v>
      </c>
      <c r="M51" s="149">
        <f t="shared" si="17"/>
        <v>56117.670000000027</v>
      </c>
      <c r="N51" s="149">
        <f t="shared" si="17"/>
        <v>891.23999999999069</v>
      </c>
      <c r="O51" s="149">
        <f t="shared" si="17"/>
        <v>33029.5</v>
      </c>
      <c r="P51" s="149">
        <f t="shared" si="17"/>
        <v>23258.550000000025</v>
      </c>
      <c r="Q51" s="150">
        <f t="shared" si="17"/>
        <v>113296.96000000022</v>
      </c>
      <c r="R51" s="149">
        <f t="shared" si="17"/>
        <v>56812.070000000007</v>
      </c>
      <c r="S51" s="78"/>
      <c r="T51" s="78"/>
      <c r="U51" s="78"/>
      <c r="V51" s="78"/>
      <c r="W51" s="78"/>
      <c r="X51" s="78"/>
      <c r="Y51" s="78"/>
      <c r="Z51" s="78"/>
    </row>
    <row r="52" spans="1:26" ht="12.75" customHeight="1" x14ac:dyDescent="0.2">
      <c r="A52" s="78"/>
      <c r="B52" s="78"/>
      <c r="C52" s="78"/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 spans="1:26" ht="12.75" customHeight="1" x14ac:dyDescent="0.2">
      <c r="A53" s="78"/>
      <c r="B53" s="78"/>
      <c r="C53" s="78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 spans="1:26" ht="12.75" customHeight="1" x14ac:dyDescent="0.2">
      <c r="A54" s="78"/>
      <c r="B54" s="78"/>
      <c r="C54" s="78"/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 spans="1:26" ht="12.75" customHeight="1" x14ac:dyDescent="0.2">
      <c r="A55" s="78"/>
      <c r="B55" s="78"/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spans="1:26" ht="12.75" customHeight="1" x14ac:dyDescent="0.2">
      <c r="A56" s="78"/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 spans="1:26" ht="12.75" customHeight="1" x14ac:dyDescent="0.2">
      <c r="A57" s="78"/>
      <c r="B57" s="78"/>
      <c r="C57" s="78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 spans="1:26" ht="12.75" customHeight="1" x14ac:dyDescent="0.2">
      <c r="A58" s="78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 spans="1:26" ht="12.75" customHeight="1" x14ac:dyDescent="0.2">
      <c r="A59" s="78"/>
      <c r="B59" s="78"/>
      <c r="C59" s="78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 spans="1:26" ht="12.75" customHeight="1" x14ac:dyDescent="0.2">
      <c r="A60" s="78"/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</row>
    <row r="61" spans="1:26" ht="12.75" customHeight="1" x14ac:dyDescent="0.2">
      <c r="A61" s="78"/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 spans="1:26" ht="12.75" customHeight="1" x14ac:dyDescent="0.2">
      <c r="A62" s="78"/>
      <c r="B62" s="78"/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 spans="1:26" ht="12.75" customHeight="1" x14ac:dyDescent="0.2">
      <c r="A63" s="78"/>
      <c r="B63" s="78"/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 spans="1:26" ht="12.75" customHeight="1" x14ac:dyDescent="0.2">
      <c r="A64" s="78"/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</row>
    <row r="65" spans="1:26" ht="12.75" customHeight="1" x14ac:dyDescent="0.2">
      <c r="A65" s="78"/>
      <c r="B65" s="78"/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 spans="1:26" ht="12.75" customHeight="1" x14ac:dyDescent="0.2">
      <c r="A66" s="78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 spans="1:26" ht="12.75" customHeight="1" x14ac:dyDescent="0.2">
      <c r="A67" s="78"/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 spans="1:26" ht="12.75" customHeight="1" x14ac:dyDescent="0.2">
      <c r="A68" s="78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</row>
    <row r="69" spans="1:26" ht="12.75" customHeight="1" x14ac:dyDescent="0.2">
      <c r="A69" s="78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 spans="1:26" ht="12.75" customHeight="1" x14ac:dyDescent="0.2">
      <c r="A70" s="78"/>
      <c r="B70" s="78"/>
      <c r="C70" s="78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 spans="1:26" ht="12.75" customHeight="1" x14ac:dyDescent="0.2">
      <c r="A71" s="78"/>
      <c r="B71" s="78"/>
      <c r="C71" s="7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 spans="1:26" ht="12.75" customHeight="1" x14ac:dyDescent="0.2">
      <c r="A72" s="78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 spans="1:26" ht="12.75" customHeight="1" x14ac:dyDescent="0.2">
      <c r="A73" s="78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</row>
    <row r="74" spans="1:26" ht="12.75" customHeight="1" x14ac:dyDescent="0.2">
      <c r="A74" s="78"/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 spans="1:26" ht="12.75" customHeight="1" x14ac:dyDescent="0.2">
      <c r="A75" s="78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 spans="1:26" ht="12.75" customHeight="1" x14ac:dyDescent="0.2">
      <c r="A76" s="78"/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 spans="1:26" ht="12.75" customHeight="1" x14ac:dyDescent="0.2">
      <c r="A77" s="78"/>
      <c r="B77" s="78"/>
      <c r="C77" s="78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 spans="1:26" ht="12.75" customHeight="1" x14ac:dyDescent="0.2">
      <c r="A78" s="78"/>
      <c r="B78" s="78"/>
      <c r="C78" s="78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</row>
    <row r="79" spans="1:26" ht="12.75" customHeight="1" x14ac:dyDescent="0.2">
      <c r="A79" s="78"/>
      <c r="B79" s="78"/>
      <c r="C79" s="78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 spans="1:26" ht="12.75" customHeight="1" x14ac:dyDescent="0.2">
      <c r="A80" s="78"/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 spans="1:26" ht="12.75" customHeight="1" x14ac:dyDescent="0.2">
      <c r="A81" s="78"/>
      <c r="B81" s="78"/>
      <c r="C81" s="78"/>
      <c r="D81" s="78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 spans="1:26" ht="12.75" customHeight="1" x14ac:dyDescent="0.2">
      <c r="A82" s="78"/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 spans="1:26" ht="12.75" customHeight="1" x14ac:dyDescent="0.2">
      <c r="A83" s="78"/>
      <c r="B83" s="78"/>
      <c r="C83" s="78"/>
      <c r="D83" s="78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</row>
    <row r="84" spans="1:26" ht="12.75" customHeight="1" x14ac:dyDescent="0.2">
      <c r="A84" s="78"/>
      <c r="B84" s="78"/>
      <c r="C84" s="78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 spans="1:26" ht="12.75" customHeight="1" x14ac:dyDescent="0.2">
      <c r="A85" s="78"/>
      <c r="B85" s="78"/>
      <c r="C85" s="78"/>
      <c r="D85" s="78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 spans="1:26" ht="12.75" customHeight="1" x14ac:dyDescent="0.2">
      <c r="A86" s="78"/>
      <c r="B86" s="78"/>
      <c r="C86" s="78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 spans="1:26" ht="12.75" customHeight="1" x14ac:dyDescent="0.2">
      <c r="A87" s="78"/>
      <c r="B87" s="78"/>
      <c r="C87" s="78"/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</row>
    <row r="88" spans="1:26" ht="12.75" customHeight="1" x14ac:dyDescent="0.2">
      <c r="A88" s="78"/>
      <c r="B88" s="78"/>
      <c r="C88" s="7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 spans="1:26" ht="12.75" customHeight="1" x14ac:dyDescent="0.2">
      <c r="A89" s="78"/>
      <c r="B89" s="78"/>
      <c r="C89" s="78"/>
      <c r="D89" s="78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 spans="1:26" ht="12.75" customHeight="1" x14ac:dyDescent="0.2">
      <c r="A90" s="78"/>
      <c r="B90" s="78"/>
      <c r="C90" s="78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</row>
    <row r="91" spans="1:26" ht="12.75" customHeight="1" x14ac:dyDescent="0.2">
      <c r="A91" s="78"/>
      <c r="B91" s="78"/>
      <c r="C91" s="78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</row>
    <row r="92" spans="1:26" ht="12.75" customHeight="1" x14ac:dyDescent="0.2">
      <c r="A92" s="78"/>
      <c r="B92" s="78"/>
      <c r="C92" s="78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</row>
    <row r="93" spans="1:26" ht="12.75" customHeight="1" x14ac:dyDescent="0.2">
      <c r="A93" s="78"/>
      <c r="B93" s="78"/>
      <c r="C93" s="78"/>
      <c r="D93" s="78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</row>
    <row r="94" spans="1:26" ht="12.75" customHeight="1" x14ac:dyDescent="0.2">
      <c r="A94" s="78"/>
      <c r="B94" s="78"/>
      <c r="C94" s="78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</row>
    <row r="95" spans="1:26" ht="12.75" customHeight="1" x14ac:dyDescent="0.2">
      <c r="A95" s="78"/>
      <c r="B95" s="78"/>
      <c r="C95" s="78"/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</row>
    <row r="96" spans="1:26" ht="12.75" customHeight="1" x14ac:dyDescent="0.2">
      <c r="A96" s="78"/>
      <c r="B96" s="78"/>
      <c r="C96" s="78"/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</row>
    <row r="97" spans="1:26" ht="12.75" customHeight="1" x14ac:dyDescent="0.2">
      <c r="A97" s="78"/>
      <c r="B97" s="78"/>
      <c r="C97" s="78"/>
      <c r="D97" s="78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</row>
    <row r="98" spans="1:26" ht="12.75" customHeight="1" x14ac:dyDescent="0.2">
      <c r="A98" s="78"/>
      <c r="B98" s="78"/>
      <c r="C98" s="7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</row>
    <row r="99" spans="1:26" ht="12.75" customHeight="1" x14ac:dyDescent="0.2">
      <c r="A99" s="78"/>
      <c r="B99" s="78"/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</row>
    <row r="100" spans="1:26" ht="12.75" customHeight="1" x14ac:dyDescent="0.2">
      <c r="A100" s="78"/>
      <c r="B100" s="78"/>
      <c r="C100" s="7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</row>
    <row r="101" spans="1:26" ht="12.75" customHeight="1" x14ac:dyDescent="0.2">
      <c r="A101" s="78"/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</row>
    <row r="102" spans="1:26" ht="12.75" customHeight="1" x14ac:dyDescent="0.2">
      <c r="A102" s="78"/>
      <c r="B102" s="78"/>
      <c r="C102" s="7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</row>
    <row r="103" spans="1:26" ht="12.75" customHeight="1" x14ac:dyDescent="0.2">
      <c r="A103" s="78"/>
      <c r="B103" s="78"/>
      <c r="C103" s="78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</row>
    <row r="104" spans="1:26" ht="12.75" customHeight="1" x14ac:dyDescent="0.2">
      <c r="A104" s="78"/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</row>
    <row r="105" spans="1:26" ht="12.75" customHeight="1" x14ac:dyDescent="0.2">
      <c r="A105" s="78"/>
      <c r="B105" s="78"/>
      <c r="C105" s="78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</row>
    <row r="106" spans="1:26" ht="12.75" customHeight="1" x14ac:dyDescent="0.2">
      <c r="A106" s="78"/>
      <c r="B106" s="78"/>
      <c r="C106" s="78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</row>
    <row r="107" spans="1:26" ht="12.75" customHeight="1" x14ac:dyDescent="0.2">
      <c r="A107" s="78"/>
      <c r="B107" s="78"/>
      <c r="C107" s="7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</row>
    <row r="108" spans="1:26" ht="12.75" customHeight="1" x14ac:dyDescent="0.2">
      <c r="A108" s="78"/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</row>
    <row r="109" spans="1:26" ht="12.75" customHeight="1" x14ac:dyDescent="0.2">
      <c r="A109" s="78"/>
      <c r="B109" s="78"/>
      <c r="C109" s="78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</row>
    <row r="110" spans="1:26" ht="12.75" customHeight="1" x14ac:dyDescent="0.2">
      <c r="A110" s="78"/>
      <c r="B110" s="78"/>
      <c r="C110" s="78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</row>
    <row r="111" spans="1:26" ht="12.75" customHeight="1" x14ac:dyDescent="0.2">
      <c r="A111" s="78"/>
      <c r="B111" s="78"/>
      <c r="C111" s="7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</row>
    <row r="112" spans="1:26" ht="12.75" customHeight="1" x14ac:dyDescent="0.2">
      <c r="A112" s="78"/>
      <c r="B112" s="78"/>
      <c r="C112" s="78"/>
      <c r="D112" s="78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</row>
    <row r="113" spans="1:26" ht="12.75" customHeight="1" x14ac:dyDescent="0.2">
      <c r="A113" s="78"/>
      <c r="B113" s="78"/>
      <c r="C113" s="78"/>
      <c r="D113" s="78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</row>
    <row r="114" spans="1:26" ht="12.75" customHeight="1" x14ac:dyDescent="0.2">
      <c r="A114" s="78"/>
      <c r="B114" s="78"/>
      <c r="C114" s="78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</row>
    <row r="115" spans="1:26" ht="12.75" customHeight="1" x14ac:dyDescent="0.2">
      <c r="A115" s="78"/>
      <c r="B115" s="78"/>
      <c r="C115" s="78"/>
      <c r="D115" s="78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</row>
    <row r="116" spans="1:26" ht="12.75" customHeight="1" x14ac:dyDescent="0.2">
      <c r="A116" s="78"/>
      <c r="B116" s="78"/>
      <c r="C116" s="78"/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</row>
    <row r="117" spans="1:26" ht="12.75" customHeight="1" x14ac:dyDescent="0.2">
      <c r="A117" s="78"/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</row>
    <row r="118" spans="1:26" ht="12.75" customHeight="1" x14ac:dyDescent="0.2">
      <c r="A118" s="78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</row>
    <row r="119" spans="1:26" ht="12.75" customHeight="1" x14ac:dyDescent="0.2">
      <c r="A119" s="78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</row>
    <row r="120" spans="1:26" ht="12.75" customHeight="1" x14ac:dyDescent="0.2">
      <c r="A120" s="78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</row>
    <row r="121" spans="1:26" ht="12.75" customHeight="1" x14ac:dyDescent="0.2">
      <c r="A121" s="78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</row>
    <row r="122" spans="1:26" ht="12.75" customHeight="1" x14ac:dyDescent="0.2">
      <c r="A122" s="78"/>
      <c r="B122" s="78"/>
      <c r="C122" s="78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</row>
    <row r="123" spans="1:26" ht="12.75" customHeight="1" x14ac:dyDescent="0.2">
      <c r="A123" s="78"/>
      <c r="B123" s="78"/>
      <c r="C123" s="78"/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</row>
    <row r="124" spans="1:26" ht="12.75" customHeight="1" x14ac:dyDescent="0.2">
      <c r="A124" s="78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</row>
    <row r="125" spans="1:26" ht="12.75" customHeight="1" x14ac:dyDescent="0.2">
      <c r="A125" s="78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</row>
    <row r="126" spans="1:26" ht="12.75" customHeight="1" x14ac:dyDescent="0.2">
      <c r="A126" s="78"/>
      <c r="B126" s="78"/>
      <c r="C126" s="78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</row>
    <row r="127" spans="1:26" ht="12.75" customHeight="1" x14ac:dyDescent="0.2">
      <c r="A127" s="78"/>
      <c r="B127" s="78"/>
      <c r="C127" s="78"/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</row>
    <row r="128" spans="1:26" ht="12.75" customHeight="1" x14ac:dyDescent="0.2">
      <c r="A128" s="78"/>
      <c r="B128" s="78"/>
      <c r="C128" s="78"/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</row>
    <row r="129" spans="1:26" ht="12.75" customHeight="1" x14ac:dyDescent="0.2">
      <c r="A129" s="78"/>
      <c r="B129" s="78"/>
      <c r="C129" s="78"/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</row>
    <row r="130" spans="1:26" ht="12.75" customHeight="1" x14ac:dyDescent="0.2">
      <c r="A130" s="78"/>
      <c r="B130" s="78"/>
      <c r="C130" s="78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</row>
    <row r="131" spans="1:26" ht="12.75" customHeight="1" x14ac:dyDescent="0.2">
      <c r="A131" s="78"/>
      <c r="B131" s="78"/>
      <c r="C131" s="78"/>
      <c r="D131" s="78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</row>
    <row r="132" spans="1:26" ht="12.75" customHeight="1" x14ac:dyDescent="0.2">
      <c r="A132" s="78"/>
      <c r="B132" s="78"/>
      <c r="C132" s="78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</row>
    <row r="133" spans="1:26" ht="12.75" customHeight="1" x14ac:dyDescent="0.2">
      <c r="A133" s="78"/>
      <c r="B133" s="78"/>
      <c r="C133" s="78"/>
      <c r="D133" s="78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</row>
    <row r="134" spans="1:26" ht="12.75" customHeight="1" x14ac:dyDescent="0.2">
      <c r="A134" s="78"/>
      <c r="B134" s="78"/>
      <c r="C134" s="78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</row>
    <row r="135" spans="1:26" ht="12.75" customHeight="1" x14ac:dyDescent="0.2">
      <c r="A135" s="78"/>
      <c r="B135" s="78"/>
      <c r="C135" s="78"/>
      <c r="D135" s="78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</row>
    <row r="136" spans="1:26" ht="12.75" customHeight="1" x14ac:dyDescent="0.2">
      <c r="A136" s="78"/>
      <c r="B136" s="78"/>
      <c r="C136" s="78"/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</row>
    <row r="137" spans="1:26" ht="12.75" customHeight="1" x14ac:dyDescent="0.2">
      <c r="A137" s="78"/>
      <c r="B137" s="78"/>
      <c r="C137" s="78"/>
      <c r="D137" s="78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</row>
    <row r="138" spans="1:26" ht="12.75" customHeight="1" x14ac:dyDescent="0.2">
      <c r="A138" s="78"/>
      <c r="B138" s="78"/>
      <c r="C138" s="78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</row>
    <row r="139" spans="1:26" ht="12.75" customHeight="1" x14ac:dyDescent="0.2">
      <c r="A139" s="78"/>
      <c r="B139" s="78"/>
      <c r="C139" s="78"/>
      <c r="D139" s="78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</row>
    <row r="140" spans="1:26" ht="12.75" customHeight="1" x14ac:dyDescent="0.2">
      <c r="A140" s="78"/>
      <c r="B140" s="78"/>
      <c r="C140" s="78"/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</row>
    <row r="141" spans="1:26" ht="12.75" customHeight="1" x14ac:dyDescent="0.2">
      <c r="A141" s="78"/>
      <c r="B141" s="78"/>
      <c r="C141" s="78"/>
      <c r="D141" s="78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</row>
    <row r="142" spans="1:26" ht="12.75" customHeight="1" x14ac:dyDescent="0.2">
      <c r="A142" s="78"/>
      <c r="B142" s="78"/>
      <c r="C142" s="78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</row>
    <row r="143" spans="1:26" ht="12.75" customHeight="1" x14ac:dyDescent="0.2">
      <c r="A143" s="78"/>
      <c r="B143" s="78"/>
      <c r="C143" s="78"/>
      <c r="D143" s="78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</row>
    <row r="144" spans="1:26" ht="12.75" customHeight="1" x14ac:dyDescent="0.2">
      <c r="A144" s="78"/>
      <c r="B144" s="78"/>
      <c r="C144" s="78"/>
      <c r="D144" s="78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</row>
    <row r="145" spans="1:26" ht="12.75" customHeight="1" x14ac:dyDescent="0.2">
      <c r="A145" s="78"/>
      <c r="B145" s="78"/>
      <c r="C145" s="78"/>
      <c r="D145" s="78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</row>
    <row r="146" spans="1:26" ht="12.75" customHeight="1" x14ac:dyDescent="0.2">
      <c r="A146" s="78"/>
      <c r="B146" s="78"/>
      <c r="C146" s="78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</row>
    <row r="147" spans="1:26" ht="12.75" customHeight="1" x14ac:dyDescent="0.2">
      <c r="A147" s="78"/>
      <c r="B147" s="78"/>
      <c r="C147" s="78"/>
      <c r="D147" s="78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</row>
    <row r="148" spans="1:26" ht="12.75" customHeight="1" x14ac:dyDescent="0.2">
      <c r="A148" s="78"/>
      <c r="B148" s="78"/>
      <c r="C148" s="78"/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</row>
    <row r="149" spans="1:26" ht="12.75" customHeight="1" x14ac:dyDescent="0.2">
      <c r="A149" s="78"/>
      <c r="B149" s="78"/>
      <c r="C149" s="78"/>
      <c r="D149" s="78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</row>
    <row r="150" spans="1:26" ht="12.75" customHeight="1" x14ac:dyDescent="0.2">
      <c r="A150" s="78"/>
      <c r="B150" s="78"/>
      <c r="C150" s="78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</row>
    <row r="151" spans="1:26" ht="12.75" customHeight="1" x14ac:dyDescent="0.2">
      <c r="A151" s="78"/>
      <c r="B151" s="78"/>
      <c r="C151" s="78"/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</row>
    <row r="152" spans="1:26" ht="12.75" customHeight="1" x14ac:dyDescent="0.2">
      <c r="A152" s="78"/>
      <c r="B152" s="78"/>
      <c r="C152" s="78"/>
      <c r="D152" s="78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</row>
    <row r="153" spans="1:26" ht="12.75" customHeight="1" x14ac:dyDescent="0.2">
      <c r="A153" s="78"/>
      <c r="B153" s="78"/>
      <c r="C153" s="78"/>
      <c r="D153" s="78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</row>
    <row r="154" spans="1:26" ht="12.75" customHeight="1" x14ac:dyDescent="0.2">
      <c r="A154" s="78"/>
      <c r="B154" s="78"/>
      <c r="C154" s="78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</row>
    <row r="155" spans="1:26" ht="12.75" customHeight="1" x14ac:dyDescent="0.2">
      <c r="A155" s="78"/>
      <c r="B155" s="78"/>
      <c r="C155" s="78"/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</row>
    <row r="156" spans="1:26" ht="12.75" customHeight="1" x14ac:dyDescent="0.2">
      <c r="A156" s="78"/>
      <c r="B156" s="78"/>
      <c r="C156" s="78"/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</row>
    <row r="157" spans="1:26" ht="12.75" customHeight="1" x14ac:dyDescent="0.2">
      <c r="A157" s="78"/>
      <c r="B157" s="78"/>
      <c r="C157" s="78"/>
      <c r="D157" s="78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</row>
    <row r="158" spans="1:26" ht="12.75" customHeight="1" x14ac:dyDescent="0.2">
      <c r="A158" s="78"/>
      <c r="B158" s="78"/>
      <c r="C158" s="78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</row>
    <row r="159" spans="1:26" ht="12.75" customHeight="1" x14ac:dyDescent="0.2">
      <c r="A159" s="78"/>
      <c r="B159" s="78"/>
      <c r="C159" s="78"/>
      <c r="D159" s="78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</row>
    <row r="160" spans="1:26" ht="12.75" customHeight="1" x14ac:dyDescent="0.2">
      <c r="A160" s="78"/>
      <c r="B160" s="78"/>
      <c r="C160" s="78"/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</row>
    <row r="161" spans="1:26" ht="12.75" customHeight="1" x14ac:dyDescent="0.2">
      <c r="A161" s="78"/>
      <c r="B161" s="78"/>
      <c r="C161" s="78"/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</row>
    <row r="162" spans="1:26" ht="12.75" customHeight="1" x14ac:dyDescent="0.2">
      <c r="A162" s="78"/>
      <c r="B162" s="78"/>
      <c r="C162" s="78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</row>
    <row r="163" spans="1:26" ht="12.75" customHeight="1" x14ac:dyDescent="0.2">
      <c r="A163" s="78"/>
      <c r="B163" s="78"/>
      <c r="C163" s="78"/>
      <c r="D163" s="78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</row>
    <row r="164" spans="1:26" ht="12.75" customHeight="1" x14ac:dyDescent="0.2">
      <c r="A164" s="78"/>
      <c r="B164" s="78"/>
      <c r="C164" s="78"/>
      <c r="D164" s="78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</row>
    <row r="165" spans="1:26" ht="12.75" customHeight="1" x14ac:dyDescent="0.2">
      <c r="A165" s="78"/>
      <c r="B165" s="78"/>
      <c r="C165" s="78"/>
      <c r="D165" s="78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</row>
    <row r="166" spans="1:26" ht="12.75" customHeight="1" x14ac:dyDescent="0.2">
      <c r="A166" s="78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</row>
    <row r="167" spans="1:26" ht="12.75" customHeight="1" x14ac:dyDescent="0.2">
      <c r="A167" s="78"/>
      <c r="B167" s="78"/>
      <c r="C167" s="78"/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</row>
    <row r="168" spans="1:26" ht="12.75" customHeight="1" x14ac:dyDescent="0.2">
      <c r="A168" s="78"/>
      <c r="B168" s="78"/>
      <c r="C168" s="78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</row>
    <row r="169" spans="1:26" ht="12.75" customHeight="1" x14ac:dyDescent="0.2">
      <c r="A169" s="78"/>
      <c r="B169" s="78"/>
      <c r="C169" s="78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</row>
    <row r="170" spans="1:26" ht="12.75" customHeight="1" x14ac:dyDescent="0.2">
      <c r="A170" s="78"/>
      <c r="B170" s="78"/>
      <c r="C170" s="78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</row>
    <row r="171" spans="1:26" ht="12.75" customHeight="1" x14ac:dyDescent="0.2">
      <c r="A171" s="78"/>
      <c r="B171" s="78"/>
      <c r="C171" s="78"/>
      <c r="D171" s="78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</row>
    <row r="172" spans="1:26" ht="12.75" customHeight="1" x14ac:dyDescent="0.2">
      <c r="A172" s="78"/>
      <c r="B172" s="78"/>
      <c r="C172" s="78"/>
      <c r="D172" s="78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</row>
    <row r="173" spans="1:26" ht="12.75" customHeight="1" x14ac:dyDescent="0.2">
      <c r="A173" s="78"/>
      <c r="B173" s="78"/>
      <c r="C173" s="78"/>
      <c r="D173" s="78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</row>
    <row r="174" spans="1:26" ht="12.75" customHeight="1" x14ac:dyDescent="0.2">
      <c r="A174" s="78"/>
      <c r="B174" s="78"/>
      <c r="C174" s="7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</row>
    <row r="175" spans="1:26" ht="12.75" customHeight="1" x14ac:dyDescent="0.2">
      <c r="A175" s="78"/>
      <c r="B175" s="78"/>
      <c r="C175" s="78"/>
      <c r="D175" s="78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</row>
    <row r="176" spans="1:26" ht="12.75" customHeight="1" x14ac:dyDescent="0.2">
      <c r="A176" s="78"/>
      <c r="B176" s="78"/>
      <c r="C176" s="78"/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</row>
    <row r="177" spans="1:26" ht="12.75" customHeight="1" x14ac:dyDescent="0.2">
      <c r="A177" s="78"/>
      <c r="B177" s="78"/>
      <c r="C177" s="78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</row>
    <row r="178" spans="1:26" ht="12.75" customHeight="1" x14ac:dyDescent="0.2">
      <c r="A178" s="78"/>
      <c r="B178" s="78"/>
      <c r="C178" s="78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</row>
    <row r="179" spans="1:26" ht="12.75" customHeight="1" x14ac:dyDescent="0.2">
      <c r="A179" s="78"/>
      <c r="B179" s="78"/>
      <c r="C179" s="78"/>
      <c r="D179" s="78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</row>
    <row r="180" spans="1:26" ht="12.75" customHeight="1" x14ac:dyDescent="0.2">
      <c r="A180" s="78"/>
      <c r="B180" s="78"/>
      <c r="C180" s="78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</row>
    <row r="181" spans="1:26" ht="12.75" customHeight="1" x14ac:dyDescent="0.2">
      <c r="A181" s="78"/>
      <c r="B181" s="78"/>
      <c r="C181" s="78"/>
      <c r="D181" s="78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</row>
    <row r="182" spans="1:26" ht="12.75" customHeight="1" x14ac:dyDescent="0.2">
      <c r="A182" s="78"/>
      <c r="B182" s="78"/>
      <c r="C182" s="78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</row>
    <row r="183" spans="1:26" ht="12.75" customHeight="1" x14ac:dyDescent="0.2">
      <c r="A183" s="78"/>
      <c r="B183" s="78"/>
      <c r="C183" s="78"/>
      <c r="D183" s="78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</row>
    <row r="184" spans="1:26" ht="12.75" customHeight="1" x14ac:dyDescent="0.2">
      <c r="A184" s="78"/>
      <c r="B184" s="78"/>
      <c r="C184" s="78"/>
      <c r="D184" s="78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</row>
    <row r="185" spans="1:26" ht="12.75" customHeight="1" x14ac:dyDescent="0.2">
      <c r="A185" s="78"/>
      <c r="B185" s="78"/>
      <c r="C185" s="78"/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</row>
    <row r="186" spans="1:26" ht="12.75" customHeight="1" x14ac:dyDescent="0.2">
      <c r="A186" s="78"/>
      <c r="B186" s="78"/>
      <c r="C186" s="78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</row>
    <row r="187" spans="1:26" ht="12.75" customHeight="1" x14ac:dyDescent="0.2">
      <c r="A187" s="78"/>
      <c r="B187" s="78"/>
      <c r="C187" s="78"/>
      <c r="D187" s="78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</row>
    <row r="188" spans="1:26" ht="12.75" customHeight="1" x14ac:dyDescent="0.2">
      <c r="A188" s="78"/>
      <c r="B188" s="78"/>
      <c r="C188" s="78"/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</row>
    <row r="189" spans="1:26" ht="12.75" customHeight="1" x14ac:dyDescent="0.2">
      <c r="A189" s="78"/>
      <c r="B189" s="78"/>
      <c r="C189" s="78"/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</row>
    <row r="190" spans="1:26" ht="12.75" customHeight="1" x14ac:dyDescent="0.2">
      <c r="A190" s="78"/>
      <c r="B190" s="78"/>
      <c r="C190" s="78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</row>
    <row r="191" spans="1:26" ht="12.75" customHeight="1" x14ac:dyDescent="0.2">
      <c r="A191" s="78"/>
      <c r="B191" s="78"/>
      <c r="C191" s="78"/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</row>
    <row r="192" spans="1:26" ht="12.75" customHeight="1" x14ac:dyDescent="0.2">
      <c r="A192" s="78"/>
      <c r="B192" s="78"/>
      <c r="C192" s="78"/>
      <c r="D192" s="78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</row>
    <row r="193" spans="1:26" ht="12.75" customHeight="1" x14ac:dyDescent="0.2">
      <c r="A193" s="78"/>
      <c r="B193" s="78"/>
      <c r="C193" s="78"/>
      <c r="D193" s="78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</row>
    <row r="194" spans="1:26" ht="12.75" customHeight="1" x14ac:dyDescent="0.2">
      <c r="A194" s="78"/>
      <c r="B194" s="78"/>
      <c r="C194" s="78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</row>
    <row r="195" spans="1:26" ht="12.75" customHeight="1" x14ac:dyDescent="0.2">
      <c r="A195" s="78"/>
      <c r="B195" s="78"/>
      <c r="C195" s="78"/>
      <c r="D195" s="78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</row>
    <row r="196" spans="1:26" ht="12.75" customHeight="1" x14ac:dyDescent="0.2">
      <c r="A196" s="78"/>
      <c r="B196" s="78"/>
      <c r="C196" s="78"/>
      <c r="D196" s="78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</row>
    <row r="197" spans="1:26" ht="12.75" customHeight="1" x14ac:dyDescent="0.2">
      <c r="A197" s="78"/>
      <c r="B197" s="78"/>
      <c r="C197" s="78"/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</row>
    <row r="198" spans="1:26" ht="12.75" customHeight="1" x14ac:dyDescent="0.2">
      <c r="A198" s="78"/>
      <c r="B198" s="78"/>
      <c r="C198" s="78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</row>
    <row r="199" spans="1:26" ht="12.75" customHeight="1" x14ac:dyDescent="0.2">
      <c r="A199" s="78"/>
      <c r="B199" s="78"/>
      <c r="C199" s="78"/>
      <c r="D199" s="78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</row>
    <row r="200" spans="1:26" ht="12.75" customHeight="1" x14ac:dyDescent="0.2">
      <c r="A200" s="78"/>
      <c r="B200" s="78"/>
      <c r="C200" s="78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</row>
    <row r="201" spans="1:26" ht="12.75" customHeight="1" x14ac:dyDescent="0.2">
      <c r="A201" s="78"/>
      <c r="B201" s="78"/>
      <c r="C201" s="78"/>
      <c r="D201" s="78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</row>
    <row r="202" spans="1:26" ht="12.75" customHeight="1" x14ac:dyDescent="0.2">
      <c r="A202" s="78"/>
      <c r="B202" s="78"/>
      <c r="C202" s="78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</row>
    <row r="203" spans="1:26" ht="12.75" customHeight="1" x14ac:dyDescent="0.2">
      <c r="A203" s="78"/>
      <c r="B203" s="78"/>
      <c r="C203" s="78"/>
      <c r="D203" s="78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</row>
    <row r="204" spans="1:26" ht="12.75" customHeight="1" x14ac:dyDescent="0.2">
      <c r="A204" s="78"/>
      <c r="B204" s="78"/>
      <c r="C204" s="78"/>
      <c r="D204" s="78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</row>
    <row r="205" spans="1:26" ht="12.75" customHeight="1" x14ac:dyDescent="0.2">
      <c r="A205" s="78"/>
      <c r="B205" s="78"/>
      <c r="C205" s="78"/>
      <c r="D205" s="78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</row>
    <row r="206" spans="1:26" ht="12.75" customHeight="1" x14ac:dyDescent="0.2">
      <c r="A206" s="78"/>
      <c r="B206" s="78"/>
      <c r="C206" s="78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</row>
    <row r="207" spans="1:26" ht="12.75" customHeight="1" x14ac:dyDescent="0.2">
      <c r="A207" s="78"/>
      <c r="B207" s="78"/>
      <c r="C207" s="78"/>
      <c r="D207" s="78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</row>
    <row r="208" spans="1:26" ht="12.75" customHeight="1" x14ac:dyDescent="0.2">
      <c r="A208" s="78"/>
      <c r="B208" s="78"/>
      <c r="C208" s="78"/>
      <c r="D208" s="78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</row>
    <row r="209" spans="1:26" ht="12.75" customHeight="1" x14ac:dyDescent="0.2">
      <c r="A209" s="78"/>
      <c r="B209" s="78"/>
      <c r="C209" s="78"/>
      <c r="D209" s="78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</row>
    <row r="210" spans="1:26" ht="12.75" customHeight="1" x14ac:dyDescent="0.2">
      <c r="A210" s="78"/>
      <c r="B210" s="78"/>
      <c r="C210" s="78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</row>
    <row r="211" spans="1:26" ht="12.75" customHeight="1" x14ac:dyDescent="0.2">
      <c r="A211" s="78"/>
      <c r="B211" s="78"/>
      <c r="C211" s="78"/>
      <c r="D211" s="78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</row>
    <row r="212" spans="1:26" ht="12.75" customHeight="1" x14ac:dyDescent="0.2">
      <c r="A212" s="78"/>
      <c r="B212" s="78"/>
      <c r="C212" s="78"/>
      <c r="D212" s="78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</row>
    <row r="213" spans="1:26" ht="12.75" customHeight="1" x14ac:dyDescent="0.2">
      <c r="A213" s="78"/>
      <c r="B213" s="78"/>
      <c r="C213" s="78"/>
      <c r="D213" s="78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</row>
    <row r="214" spans="1:26" ht="12.75" customHeight="1" x14ac:dyDescent="0.2">
      <c r="A214" s="78"/>
      <c r="B214" s="78"/>
      <c r="C214" s="78"/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</row>
    <row r="215" spans="1:26" ht="12.75" customHeight="1" x14ac:dyDescent="0.2">
      <c r="A215" s="78"/>
      <c r="B215" s="78"/>
      <c r="C215" s="78"/>
      <c r="D215" s="78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</row>
    <row r="216" spans="1:26" ht="12.75" customHeight="1" x14ac:dyDescent="0.2">
      <c r="A216" s="78"/>
      <c r="B216" s="78"/>
      <c r="C216" s="78"/>
      <c r="D216" s="78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</row>
    <row r="217" spans="1:26" ht="12.75" customHeight="1" x14ac:dyDescent="0.2">
      <c r="A217" s="78"/>
      <c r="B217" s="78"/>
      <c r="C217" s="78"/>
      <c r="D217" s="78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</row>
    <row r="218" spans="1:26" ht="12.75" customHeight="1" x14ac:dyDescent="0.2">
      <c r="A218" s="78"/>
      <c r="B218" s="78"/>
      <c r="C218" s="78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</row>
    <row r="219" spans="1:26" ht="12.75" customHeight="1" x14ac:dyDescent="0.2">
      <c r="A219" s="78"/>
      <c r="B219" s="78"/>
      <c r="C219" s="78"/>
      <c r="D219" s="78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</row>
    <row r="220" spans="1:26" ht="12.75" customHeight="1" x14ac:dyDescent="0.2">
      <c r="A220" s="78"/>
      <c r="B220" s="78"/>
      <c r="C220" s="78"/>
      <c r="D220" s="78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</row>
    <row r="221" spans="1:26" ht="12.75" customHeight="1" x14ac:dyDescent="0.2">
      <c r="A221" s="78"/>
      <c r="B221" s="78"/>
      <c r="C221" s="78"/>
      <c r="D221" s="78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</row>
    <row r="222" spans="1:26" ht="12.75" customHeight="1" x14ac:dyDescent="0.2">
      <c r="A222" s="78"/>
      <c r="B222" s="78"/>
      <c r="C222" s="78"/>
      <c r="D222" s="78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  <c r="Z222" s="78"/>
    </row>
    <row r="223" spans="1:26" ht="12.75" customHeight="1" x14ac:dyDescent="0.2">
      <c r="A223" s="78"/>
      <c r="B223" s="78"/>
      <c r="C223" s="78"/>
      <c r="D223" s="78"/>
      <c r="E223" s="78"/>
      <c r="F223" s="78"/>
      <c r="G223" s="78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78"/>
      <c r="W223" s="78"/>
      <c r="X223" s="78"/>
      <c r="Y223" s="78"/>
      <c r="Z223" s="78"/>
    </row>
    <row r="224" spans="1:26" ht="12.75" customHeight="1" x14ac:dyDescent="0.2">
      <c r="A224" s="78"/>
      <c r="B224" s="78"/>
      <c r="C224" s="78"/>
      <c r="D224" s="78"/>
      <c r="E224" s="78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</row>
    <row r="225" spans="1:26" ht="12.75" customHeight="1" x14ac:dyDescent="0.2">
      <c r="A225" s="78"/>
      <c r="B225" s="78"/>
      <c r="C225" s="78"/>
      <c r="D225" s="78"/>
      <c r="E225" s="78"/>
      <c r="F225" s="78"/>
      <c r="G225" s="78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8"/>
      <c r="W225" s="78"/>
      <c r="X225" s="78"/>
      <c r="Y225" s="78"/>
      <c r="Z225" s="78"/>
    </row>
    <row r="226" spans="1:26" ht="12.75" customHeight="1" x14ac:dyDescent="0.2">
      <c r="A226" s="78"/>
      <c r="B226" s="78"/>
      <c r="C226" s="78"/>
      <c r="D226" s="78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8"/>
      <c r="W226" s="78"/>
      <c r="X226" s="78"/>
      <c r="Y226" s="78"/>
      <c r="Z226" s="78"/>
    </row>
    <row r="227" spans="1:26" ht="12.75" customHeight="1" x14ac:dyDescent="0.2">
      <c r="A227" s="78"/>
      <c r="B227" s="78"/>
      <c r="C227" s="78"/>
      <c r="D227" s="78"/>
      <c r="E227" s="78"/>
      <c r="F227" s="78"/>
      <c r="G227" s="78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8"/>
      <c r="Z227" s="78"/>
    </row>
    <row r="228" spans="1:26" ht="12.75" customHeight="1" x14ac:dyDescent="0.2">
      <c r="A228" s="78"/>
      <c r="B228" s="78"/>
      <c r="C228" s="78"/>
      <c r="D228" s="78"/>
      <c r="E228" s="78"/>
      <c r="F228" s="78"/>
      <c r="G228" s="78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78"/>
      <c r="V228" s="78"/>
      <c r="W228" s="78"/>
      <c r="X228" s="78"/>
      <c r="Y228" s="78"/>
      <c r="Z228" s="78"/>
    </row>
    <row r="229" spans="1:26" ht="12.75" customHeight="1" x14ac:dyDescent="0.2">
      <c r="A229" s="78"/>
      <c r="B229" s="78"/>
      <c r="C229" s="78"/>
      <c r="D229" s="78"/>
      <c r="E229" s="78"/>
      <c r="F229" s="78"/>
      <c r="G229" s="78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  <c r="Z229" s="78"/>
    </row>
    <row r="230" spans="1:26" ht="12.75" customHeight="1" x14ac:dyDescent="0.2">
      <c r="A230" s="78"/>
      <c r="B230" s="78"/>
      <c r="C230" s="78"/>
      <c r="D230" s="78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78"/>
      <c r="V230" s="78"/>
      <c r="W230" s="78"/>
      <c r="X230" s="78"/>
      <c r="Y230" s="78"/>
      <c r="Z230" s="78"/>
    </row>
    <row r="231" spans="1:26" ht="12.75" customHeight="1" x14ac:dyDescent="0.2">
      <c r="A231" s="78"/>
      <c r="B231" s="78"/>
      <c r="C231" s="78"/>
      <c r="D231" s="78"/>
      <c r="E231" s="78"/>
      <c r="F231" s="78"/>
      <c r="G231" s="78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8"/>
      <c r="Z231" s="78"/>
    </row>
    <row r="232" spans="1:26" ht="12.75" customHeight="1" x14ac:dyDescent="0.2">
      <c r="A232" s="78"/>
      <c r="B232" s="78"/>
      <c r="C232" s="78"/>
      <c r="D232" s="78"/>
      <c r="E232" s="78"/>
      <c r="F232" s="78"/>
      <c r="G232" s="78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  <c r="Z232" s="78"/>
    </row>
    <row r="233" spans="1:26" ht="12.75" customHeight="1" x14ac:dyDescent="0.2">
      <c r="A233" s="78"/>
      <c r="B233" s="78"/>
      <c r="C233" s="78"/>
      <c r="D233" s="78"/>
      <c r="E233" s="78"/>
      <c r="F233" s="78"/>
      <c r="G233" s="78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8"/>
      <c r="Z233" s="78"/>
    </row>
    <row r="234" spans="1:26" ht="12.75" customHeight="1" x14ac:dyDescent="0.2">
      <c r="A234" s="78"/>
      <c r="B234" s="78"/>
      <c r="C234" s="78"/>
      <c r="D234" s="78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78"/>
      <c r="V234" s="78"/>
      <c r="W234" s="78"/>
      <c r="X234" s="78"/>
      <c r="Y234" s="78"/>
      <c r="Z234" s="78"/>
    </row>
    <row r="235" spans="1:26" ht="12.75" customHeight="1" x14ac:dyDescent="0.2">
      <c r="A235" s="78"/>
      <c r="B235" s="78"/>
      <c r="C235" s="78"/>
      <c r="D235" s="78"/>
      <c r="E235" s="78"/>
      <c r="F235" s="78"/>
      <c r="G235" s="78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78"/>
      <c r="V235" s="78"/>
      <c r="W235" s="78"/>
      <c r="X235" s="78"/>
      <c r="Y235" s="78"/>
      <c r="Z235" s="78"/>
    </row>
    <row r="236" spans="1:26" ht="12.75" customHeight="1" x14ac:dyDescent="0.2">
      <c r="A236" s="78"/>
      <c r="B236" s="78"/>
      <c r="C236" s="78"/>
      <c r="D236" s="78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</row>
    <row r="237" spans="1:26" ht="12.75" customHeight="1" x14ac:dyDescent="0.2">
      <c r="A237" s="78"/>
      <c r="B237" s="78"/>
      <c r="C237" s="78"/>
      <c r="D237" s="78"/>
      <c r="E237" s="78"/>
      <c r="F237" s="78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  <c r="Z237" s="78"/>
    </row>
    <row r="238" spans="1:26" ht="12.75" customHeight="1" x14ac:dyDescent="0.2">
      <c r="A238" s="78"/>
      <c r="B238" s="78"/>
      <c r="C238" s="78"/>
      <c r="D238" s="78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  <c r="Z238" s="78"/>
    </row>
    <row r="239" spans="1:26" ht="12.75" customHeight="1" x14ac:dyDescent="0.2">
      <c r="A239" s="78"/>
      <c r="B239" s="78"/>
      <c r="C239" s="78"/>
      <c r="D239" s="78"/>
      <c r="E239" s="78"/>
      <c r="F239" s="78"/>
      <c r="G239" s="78"/>
      <c r="H239" s="78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78"/>
      <c r="V239" s="78"/>
      <c r="W239" s="78"/>
      <c r="X239" s="78"/>
      <c r="Y239" s="78"/>
      <c r="Z239" s="78"/>
    </row>
    <row r="240" spans="1:26" ht="12.75" customHeight="1" x14ac:dyDescent="0.2">
      <c r="A240" s="78"/>
      <c r="B240" s="78"/>
      <c r="C240" s="78"/>
      <c r="D240" s="78"/>
      <c r="E240" s="78"/>
      <c r="F240" s="78"/>
      <c r="G240" s="78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  <c r="V240" s="78"/>
      <c r="W240" s="78"/>
      <c r="X240" s="78"/>
      <c r="Y240" s="78"/>
      <c r="Z240" s="78"/>
    </row>
    <row r="241" spans="1:26" ht="12.75" customHeight="1" x14ac:dyDescent="0.2">
      <c r="A241" s="78"/>
      <c r="B241" s="78"/>
      <c r="C241" s="78"/>
      <c r="D241" s="78"/>
      <c r="E241" s="78"/>
      <c r="F241" s="78"/>
      <c r="G241" s="78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  <c r="V241" s="78"/>
      <c r="W241" s="78"/>
      <c r="X241" s="78"/>
      <c r="Y241" s="78"/>
      <c r="Z241" s="78"/>
    </row>
    <row r="242" spans="1:26" ht="12.75" customHeight="1" x14ac:dyDescent="0.2">
      <c r="A242" s="78"/>
      <c r="B242" s="78"/>
      <c r="C242" s="78"/>
      <c r="D242" s="78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78"/>
      <c r="W242" s="78"/>
      <c r="X242" s="78"/>
      <c r="Y242" s="78"/>
      <c r="Z242" s="78"/>
    </row>
    <row r="243" spans="1:26" ht="12.75" customHeight="1" x14ac:dyDescent="0.2">
      <c r="A243" s="78"/>
      <c r="B243" s="78"/>
      <c r="C243" s="78"/>
      <c r="D243" s="78"/>
      <c r="E243" s="78"/>
      <c r="F243" s="78"/>
      <c r="G243" s="78"/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78"/>
    </row>
    <row r="244" spans="1:26" ht="12.75" customHeight="1" x14ac:dyDescent="0.2">
      <c r="A244" s="78"/>
      <c r="B244" s="78"/>
      <c r="C244" s="78"/>
      <c r="D244" s="78"/>
      <c r="E244" s="78"/>
      <c r="F244" s="78"/>
      <c r="G244" s="78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  <c r="V244" s="78"/>
      <c r="W244" s="78"/>
      <c r="X244" s="78"/>
      <c r="Y244" s="78"/>
      <c r="Z244" s="78"/>
    </row>
    <row r="245" spans="1:26" ht="12.75" customHeight="1" x14ac:dyDescent="0.2">
      <c r="A245" s="78"/>
      <c r="B245" s="78"/>
      <c r="C245" s="78"/>
      <c r="D245" s="78"/>
      <c r="E245" s="78"/>
      <c r="F245" s="78"/>
      <c r="G245" s="78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  <c r="W245" s="78"/>
      <c r="X245" s="78"/>
      <c r="Y245" s="78"/>
      <c r="Z245" s="78"/>
    </row>
    <row r="246" spans="1:26" ht="12.75" customHeight="1" x14ac:dyDescent="0.2">
      <c r="A246" s="78"/>
      <c r="B246" s="78"/>
      <c r="C246" s="78"/>
      <c r="D246" s="78"/>
      <c r="E246" s="78"/>
      <c r="F246" s="78"/>
      <c r="G246" s="78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  <c r="W246" s="78"/>
      <c r="X246" s="78"/>
      <c r="Y246" s="78"/>
      <c r="Z246" s="78"/>
    </row>
    <row r="247" spans="1:26" ht="12.75" customHeight="1" x14ac:dyDescent="0.2">
      <c r="A247" s="78"/>
      <c r="B247" s="78"/>
      <c r="C247" s="78"/>
      <c r="D247" s="78"/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8"/>
      <c r="Z247" s="78"/>
    </row>
    <row r="248" spans="1:26" ht="12.75" customHeight="1" x14ac:dyDescent="0.2">
      <c r="A248" s="78"/>
      <c r="B248" s="78"/>
      <c r="C248" s="78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  <c r="Z248" s="78"/>
    </row>
    <row r="249" spans="1:26" ht="12.75" customHeight="1" x14ac:dyDescent="0.2">
      <c r="A249" s="78"/>
      <c r="B249" s="78"/>
      <c r="C249" s="78"/>
      <c r="D249" s="78"/>
      <c r="E249" s="78"/>
      <c r="F249" s="78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  <c r="Z249" s="78"/>
    </row>
    <row r="250" spans="1:26" ht="12.75" customHeight="1" x14ac:dyDescent="0.2">
      <c r="A250" s="78"/>
      <c r="B250" s="78"/>
      <c r="C250" s="78"/>
      <c r="D250" s="78"/>
      <c r="E250" s="78"/>
      <c r="F250" s="78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78"/>
      <c r="Y250" s="78"/>
      <c r="Z250" s="78"/>
    </row>
    <row r="251" spans="1:26" ht="12.75" customHeight="1" x14ac:dyDescent="0.2">
      <c r="A251" s="78"/>
      <c r="B251" s="78"/>
      <c r="C251" s="78"/>
      <c r="D251" s="78"/>
      <c r="E251" s="78"/>
      <c r="F251" s="78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  <c r="Z251" s="78"/>
    </row>
    <row r="252" spans="1:26" ht="12.75" customHeight="1" x14ac:dyDescent="0.2">
      <c r="A252" s="78"/>
      <c r="B252" s="78"/>
      <c r="C252" s="78"/>
      <c r="D252" s="78"/>
      <c r="E252" s="78"/>
      <c r="F252" s="78"/>
      <c r="G252" s="78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  <c r="W252" s="78"/>
      <c r="X252" s="78"/>
      <c r="Y252" s="78"/>
      <c r="Z252" s="78"/>
    </row>
    <row r="253" spans="1:26" ht="12.75" customHeight="1" x14ac:dyDescent="0.2">
      <c r="A253" s="78"/>
      <c r="B253" s="78"/>
      <c r="C253" s="78"/>
      <c r="D253" s="78"/>
      <c r="E253" s="78"/>
      <c r="F253" s="78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78"/>
      <c r="Y253" s="78"/>
      <c r="Z253" s="78"/>
    </row>
    <row r="254" spans="1:26" ht="12.75" customHeight="1" x14ac:dyDescent="0.2">
      <c r="A254" s="78"/>
      <c r="B254" s="78"/>
      <c r="C254" s="78"/>
      <c r="D254" s="78"/>
      <c r="E254" s="78"/>
      <c r="F254" s="78"/>
      <c r="G254" s="78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  <c r="X254" s="78"/>
      <c r="Y254" s="78"/>
      <c r="Z254" s="78"/>
    </row>
    <row r="255" spans="1:26" ht="12.75" customHeight="1" x14ac:dyDescent="0.2">
      <c r="A255" s="78"/>
      <c r="B255" s="78"/>
      <c r="C255" s="78"/>
      <c r="D255" s="78"/>
      <c r="E255" s="78"/>
      <c r="F255" s="78"/>
      <c r="G255" s="78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  <c r="W255" s="78"/>
      <c r="X255" s="78"/>
      <c r="Y255" s="78"/>
      <c r="Z255" s="78"/>
    </row>
    <row r="256" spans="1:26" ht="12.75" customHeight="1" x14ac:dyDescent="0.2">
      <c r="A256" s="78"/>
      <c r="B256" s="78"/>
      <c r="C256" s="78"/>
      <c r="D256" s="78"/>
      <c r="E256" s="78"/>
      <c r="F256" s="78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  <c r="Z256" s="78"/>
    </row>
    <row r="257" spans="1:26" ht="12.75" customHeight="1" x14ac:dyDescent="0.2">
      <c r="A257" s="78"/>
      <c r="B257" s="78"/>
      <c r="C257" s="78"/>
      <c r="D257" s="78"/>
      <c r="E257" s="78"/>
      <c r="F257" s="78"/>
      <c r="G257" s="78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8"/>
      <c r="Z257" s="78"/>
    </row>
    <row r="258" spans="1:26" ht="12.75" customHeight="1" x14ac:dyDescent="0.2">
      <c r="A258" s="78"/>
      <c r="B258" s="78"/>
      <c r="C258" s="78"/>
      <c r="D258" s="78"/>
      <c r="E258" s="78"/>
      <c r="F258" s="78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  <c r="Z258" s="78"/>
    </row>
    <row r="259" spans="1:26" ht="12.75" customHeight="1" x14ac:dyDescent="0.2">
      <c r="A259" s="78"/>
      <c r="B259" s="78"/>
      <c r="C259" s="78"/>
      <c r="D259" s="78"/>
      <c r="E259" s="78"/>
      <c r="F259" s="78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  <c r="Z259" s="78"/>
    </row>
    <row r="260" spans="1:26" ht="12.75" customHeight="1" x14ac:dyDescent="0.2">
      <c r="A260" s="78"/>
      <c r="B260" s="78"/>
      <c r="C260" s="78"/>
      <c r="D260" s="78"/>
      <c r="E260" s="78"/>
      <c r="F260" s="78"/>
      <c r="G260" s="78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  <c r="X260" s="78"/>
      <c r="Y260" s="78"/>
      <c r="Z260" s="78"/>
    </row>
    <row r="261" spans="1:26" ht="12.75" customHeight="1" x14ac:dyDescent="0.2">
      <c r="A261" s="78"/>
      <c r="B261" s="78"/>
      <c r="C261" s="78"/>
      <c r="D261" s="78"/>
      <c r="E261" s="78"/>
      <c r="F261" s="78"/>
      <c r="G261" s="78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  <c r="Z261" s="78"/>
    </row>
    <row r="262" spans="1:26" ht="12.75" customHeight="1" x14ac:dyDescent="0.2">
      <c r="A262" s="78"/>
      <c r="B262" s="78"/>
      <c r="C262" s="78"/>
      <c r="D262" s="78"/>
      <c r="E262" s="78"/>
      <c r="F262" s="78"/>
      <c r="G262" s="78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  <c r="X262" s="78"/>
      <c r="Y262" s="78"/>
      <c r="Z262" s="78"/>
    </row>
    <row r="263" spans="1:26" ht="12.75" customHeight="1" x14ac:dyDescent="0.2">
      <c r="A263" s="78"/>
      <c r="B263" s="78"/>
      <c r="C263" s="78"/>
      <c r="D263" s="78"/>
      <c r="E263" s="78"/>
      <c r="F263" s="78"/>
      <c r="G263" s="78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  <c r="W263" s="78"/>
      <c r="X263" s="78"/>
      <c r="Y263" s="78"/>
      <c r="Z263" s="78"/>
    </row>
    <row r="264" spans="1:26" ht="12.75" customHeight="1" x14ac:dyDescent="0.2">
      <c r="A264" s="78"/>
      <c r="B264" s="78"/>
      <c r="C264" s="78"/>
      <c r="D264" s="78"/>
      <c r="E264" s="78"/>
      <c r="F264" s="78"/>
      <c r="G264" s="78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8"/>
      <c r="Z264" s="78"/>
    </row>
    <row r="265" spans="1:26" ht="12.75" customHeight="1" x14ac:dyDescent="0.2">
      <c r="A265" s="78"/>
      <c r="B265" s="78"/>
      <c r="C265" s="78"/>
      <c r="D265" s="78"/>
      <c r="E265" s="78"/>
      <c r="F265" s="78"/>
      <c r="G265" s="78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  <c r="W265" s="78"/>
      <c r="X265" s="78"/>
      <c r="Y265" s="78"/>
      <c r="Z265" s="78"/>
    </row>
    <row r="266" spans="1:26" ht="12.75" customHeight="1" x14ac:dyDescent="0.2">
      <c r="A266" s="78"/>
      <c r="B266" s="78"/>
      <c r="C266" s="78"/>
      <c r="D266" s="78"/>
      <c r="E266" s="78"/>
      <c r="F266" s="78"/>
      <c r="G266" s="78"/>
      <c r="H266" s="78"/>
      <c r="I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8"/>
      <c r="W266" s="78"/>
      <c r="X266" s="78"/>
      <c r="Y266" s="78"/>
      <c r="Z266" s="78"/>
    </row>
    <row r="267" spans="1:26" ht="12.75" customHeight="1" x14ac:dyDescent="0.2">
      <c r="A267" s="78"/>
      <c r="B267" s="78"/>
      <c r="C267" s="78"/>
      <c r="D267" s="78"/>
      <c r="E267" s="78"/>
      <c r="F267" s="78"/>
      <c r="G267" s="78"/>
      <c r="H267" s="78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  <c r="V267" s="78"/>
      <c r="W267" s="78"/>
      <c r="X267" s="78"/>
      <c r="Y267" s="78"/>
      <c r="Z267" s="78"/>
    </row>
    <row r="268" spans="1:26" ht="12.75" customHeight="1" x14ac:dyDescent="0.2">
      <c r="A268" s="78"/>
      <c r="B268" s="78"/>
      <c r="C268" s="78"/>
      <c r="D268" s="78"/>
      <c r="E268" s="78"/>
      <c r="F268" s="78"/>
      <c r="G268" s="78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8"/>
      <c r="W268" s="78"/>
      <c r="X268" s="78"/>
      <c r="Y268" s="78"/>
      <c r="Z268" s="78"/>
    </row>
    <row r="269" spans="1:26" ht="12.75" customHeight="1" x14ac:dyDescent="0.2">
      <c r="A269" s="78"/>
      <c r="B269" s="78"/>
      <c r="C269" s="78"/>
      <c r="D269" s="78"/>
      <c r="E269" s="78"/>
      <c r="F269" s="78"/>
      <c r="G269" s="78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/>
      <c r="W269" s="78"/>
      <c r="X269" s="78"/>
      <c r="Y269" s="78"/>
      <c r="Z269" s="78"/>
    </row>
    <row r="270" spans="1:26" ht="12.75" customHeight="1" x14ac:dyDescent="0.2">
      <c r="A270" s="78"/>
      <c r="B270" s="78"/>
      <c r="C270" s="78"/>
      <c r="D270" s="78"/>
      <c r="E270" s="78"/>
      <c r="F270" s="78"/>
      <c r="G270" s="78"/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8"/>
      <c r="W270" s="78"/>
      <c r="X270" s="78"/>
      <c r="Y270" s="78"/>
      <c r="Z270" s="78"/>
    </row>
    <row r="271" spans="1:26" ht="12.75" customHeight="1" x14ac:dyDescent="0.2">
      <c r="A271" s="78"/>
      <c r="B271" s="78"/>
      <c r="C271" s="78"/>
      <c r="D271" s="78"/>
      <c r="E271" s="78"/>
      <c r="F271" s="78"/>
      <c r="G271" s="78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  <c r="W271" s="78"/>
      <c r="X271" s="78"/>
      <c r="Y271" s="78"/>
      <c r="Z271" s="78"/>
    </row>
    <row r="272" spans="1:26" ht="12.75" customHeight="1" x14ac:dyDescent="0.2">
      <c r="A272" s="78"/>
      <c r="B272" s="78"/>
      <c r="C272" s="78"/>
      <c r="D272" s="78"/>
      <c r="E272" s="78"/>
      <c r="F272" s="78"/>
      <c r="G272" s="78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  <c r="W272" s="78"/>
      <c r="X272" s="78"/>
      <c r="Y272" s="78"/>
      <c r="Z272" s="78"/>
    </row>
    <row r="273" spans="1:26" ht="12.75" customHeight="1" x14ac:dyDescent="0.2">
      <c r="A273" s="78"/>
      <c r="B273" s="78"/>
      <c r="C273" s="78"/>
      <c r="D273" s="78"/>
      <c r="E273" s="78"/>
      <c r="F273" s="78"/>
      <c r="G273" s="78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  <c r="W273" s="78"/>
      <c r="X273" s="78"/>
      <c r="Y273" s="78"/>
      <c r="Z273" s="78"/>
    </row>
    <row r="274" spans="1:26" ht="12.75" customHeight="1" x14ac:dyDescent="0.2">
      <c r="A274" s="78"/>
      <c r="B274" s="78"/>
      <c r="C274" s="78"/>
      <c r="D274" s="78"/>
      <c r="E274" s="78"/>
      <c r="F274" s="78"/>
      <c r="G274" s="78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  <c r="Z274" s="78"/>
    </row>
    <row r="275" spans="1:26" ht="12.75" customHeight="1" x14ac:dyDescent="0.2">
      <c r="A275" s="78"/>
      <c r="B275" s="78"/>
      <c r="C275" s="78"/>
      <c r="D275" s="78"/>
      <c r="E275" s="78"/>
      <c r="F275" s="78"/>
      <c r="G275" s="78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8"/>
      <c r="Z275" s="78"/>
    </row>
    <row r="276" spans="1:26" ht="12.75" customHeight="1" x14ac:dyDescent="0.2">
      <c r="A276" s="78"/>
      <c r="B276" s="78"/>
      <c r="C276" s="78"/>
      <c r="D276" s="78"/>
      <c r="E276" s="78"/>
      <c r="F276" s="78"/>
      <c r="G276" s="78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  <c r="W276" s="78"/>
      <c r="X276" s="78"/>
      <c r="Y276" s="78"/>
      <c r="Z276" s="78"/>
    </row>
    <row r="277" spans="1:26" ht="12.75" customHeight="1" x14ac:dyDescent="0.2">
      <c r="A277" s="78"/>
      <c r="B277" s="78"/>
      <c r="C277" s="78"/>
      <c r="D277" s="78"/>
      <c r="E277" s="78"/>
      <c r="F277" s="78"/>
      <c r="G277" s="78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  <c r="X277" s="78"/>
      <c r="Y277" s="78"/>
      <c r="Z277" s="78"/>
    </row>
    <row r="278" spans="1:26" ht="12.75" customHeight="1" x14ac:dyDescent="0.2">
      <c r="A278" s="78"/>
      <c r="B278" s="78"/>
      <c r="C278" s="78"/>
      <c r="D278" s="78"/>
      <c r="E278" s="78"/>
      <c r="F278" s="78"/>
      <c r="G278" s="78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  <c r="X278" s="78"/>
      <c r="Y278" s="78"/>
      <c r="Z278" s="78"/>
    </row>
    <row r="279" spans="1:26" ht="12.75" customHeight="1" x14ac:dyDescent="0.2">
      <c r="A279" s="78"/>
      <c r="B279" s="78"/>
      <c r="C279" s="78"/>
      <c r="D279" s="78"/>
      <c r="E279" s="78"/>
      <c r="F279" s="78"/>
      <c r="G279" s="78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  <c r="Z279" s="78"/>
    </row>
    <row r="280" spans="1:26" ht="12.75" customHeight="1" x14ac:dyDescent="0.2">
      <c r="A280" s="78"/>
      <c r="B280" s="78"/>
      <c r="C280" s="78"/>
      <c r="D280" s="78"/>
      <c r="E280" s="78"/>
      <c r="F280" s="78"/>
      <c r="G280" s="78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8"/>
      <c r="Z280" s="78"/>
    </row>
    <row r="281" spans="1:26" ht="12.75" customHeight="1" x14ac:dyDescent="0.2">
      <c r="A281" s="78"/>
      <c r="B281" s="78"/>
      <c r="C281" s="78"/>
      <c r="D281" s="78"/>
      <c r="E281" s="78"/>
      <c r="F281" s="78"/>
      <c r="G281" s="78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  <c r="Z281" s="78"/>
    </row>
    <row r="282" spans="1:26" ht="12.75" customHeight="1" x14ac:dyDescent="0.2">
      <c r="A282" s="78"/>
      <c r="B282" s="78"/>
      <c r="C282" s="78"/>
      <c r="D282" s="78"/>
      <c r="E282" s="78"/>
      <c r="F282" s="78"/>
      <c r="G282" s="78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  <c r="Z282" s="78"/>
    </row>
    <row r="283" spans="1:26" ht="12.75" customHeight="1" x14ac:dyDescent="0.2">
      <c r="A283" s="78"/>
      <c r="B283" s="78"/>
      <c r="C283" s="78"/>
      <c r="D283" s="78"/>
      <c r="E283" s="78"/>
      <c r="F283" s="78"/>
      <c r="G283" s="78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</row>
    <row r="284" spans="1:26" ht="12.75" customHeight="1" x14ac:dyDescent="0.2">
      <c r="A284" s="78"/>
      <c r="B284" s="78"/>
      <c r="C284" s="78"/>
      <c r="D284" s="78"/>
      <c r="E284" s="78"/>
      <c r="F284" s="78"/>
      <c r="G284" s="78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  <c r="Z284" s="78"/>
    </row>
    <row r="285" spans="1:26" ht="12.75" customHeight="1" x14ac:dyDescent="0.2">
      <c r="A285" s="78"/>
      <c r="B285" s="78"/>
      <c r="C285" s="78"/>
      <c r="D285" s="78"/>
      <c r="E285" s="78"/>
      <c r="F285" s="78"/>
      <c r="G285" s="78"/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  <c r="W285" s="78"/>
      <c r="X285" s="78"/>
      <c r="Y285" s="78"/>
      <c r="Z285" s="78"/>
    </row>
    <row r="286" spans="1:26" ht="12.75" customHeight="1" x14ac:dyDescent="0.2">
      <c r="A286" s="78"/>
      <c r="B286" s="78"/>
      <c r="C286" s="78"/>
      <c r="D286" s="78"/>
      <c r="E286" s="78"/>
      <c r="F286" s="78"/>
      <c r="G286" s="78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8"/>
      <c r="Z286" s="78"/>
    </row>
    <row r="287" spans="1:26" ht="12.75" customHeight="1" x14ac:dyDescent="0.2">
      <c r="A287" s="78"/>
      <c r="B287" s="78"/>
      <c r="C287" s="78"/>
      <c r="D287" s="7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</row>
    <row r="288" spans="1:26" ht="12.75" customHeight="1" x14ac:dyDescent="0.2">
      <c r="A288" s="78"/>
      <c r="B288" s="78"/>
      <c r="C288" s="78"/>
      <c r="D288" s="78"/>
      <c r="E288" s="78"/>
      <c r="F288" s="78"/>
      <c r="G288" s="78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  <c r="Z288" s="78"/>
    </row>
    <row r="289" spans="1:26" ht="12.75" customHeight="1" x14ac:dyDescent="0.2">
      <c r="A289" s="78"/>
      <c r="B289" s="78"/>
      <c r="C289" s="78"/>
      <c r="D289" s="78"/>
      <c r="E289" s="78"/>
      <c r="F289" s="78"/>
      <c r="G289" s="78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  <c r="W289" s="78"/>
      <c r="X289" s="78"/>
      <c r="Y289" s="78"/>
      <c r="Z289" s="78"/>
    </row>
    <row r="290" spans="1:26" ht="12.75" customHeight="1" x14ac:dyDescent="0.2">
      <c r="A290" s="78"/>
      <c r="B290" s="78"/>
      <c r="C290" s="78"/>
      <c r="D290" s="78"/>
      <c r="E290" s="78"/>
      <c r="F290" s="78"/>
      <c r="G290" s="78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  <c r="X290" s="78"/>
      <c r="Y290" s="78"/>
      <c r="Z290" s="78"/>
    </row>
    <row r="291" spans="1:26" ht="12.75" customHeight="1" x14ac:dyDescent="0.2">
      <c r="A291" s="78"/>
      <c r="B291" s="78"/>
      <c r="C291" s="78"/>
      <c r="D291" s="78"/>
      <c r="E291" s="78"/>
      <c r="F291" s="78"/>
      <c r="G291" s="78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  <c r="Z291" s="78"/>
    </row>
    <row r="292" spans="1:26" ht="12.75" customHeight="1" x14ac:dyDescent="0.2">
      <c r="A292" s="78"/>
      <c r="B292" s="78"/>
      <c r="C292" s="78"/>
      <c r="D292" s="78"/>
      <c r="E292" s="78"/>
      <c r="F292" s="78"/>
      <c r="G292" s="78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8"/>
      <c r="Z292" s="78"/>
    </row>
    <row r="293" spans="1:26" ht="12.75" customHeight="1" x14ac:dyDescent="0.2">
      <c r="A293" s="78"/>
      <c r="B293" s="78"/>
      <c r="C293" s="78"/>
      <c r="D293" s="78"/>
      <c r="E293" s="78"/>
      <c r="F293" s="78"/>
      <c r="G293" s="78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  <c r="Z293" s="78"/>
    </row>
    <row r="294" spans="1:26" ht="12.75" customHeight="1" x14ac:dyDescent="0.2">
      <c r="A294" s="78"/>
      <c r="B294" s="78"/>
      <c r="C294" s="78"/>
      <c r="D294" s="78"/>
      <c r="E294" s="78"/>
      <c r="F294" s="78"/>
      <c r="G294" s="78"/>
      <c r="H294" s="78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  <c r="W294" s="78"/>
      <c r="X294" s="78"/>
      <c r="Y294" s="78"/>
      <c r="Z294" s="78"/>
    </row>
    <row r="295" spans="1:26" ht="12.75" customHeight="1" x14ac:dyDescent="0.2">
      <c r="A295" s="78"/>
      <c r="B295" s="78"/>
      <c r="C295" s="78"/>
      <c r="D295" s="78"/>
      <c r="E295" s="78"/>
      <c r="F295" s="78"/>
      <c r="G295" s="78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8"/>
      <c r="Z295" s="78"/>
    </row>
    <row r="296" spans="1:26" ht="12.75" customHeight="1" x14ac:dyDescent="0.2">
      <c r="A296" s="78"/>
      <c r="B296" s="78"/>
      <c r="C296" s="78"/>
      <c r="D296" s="78"/>
      <c r="E296" s="78"/>
      <c r="F296" s="78"/>
      <c r="G296" s="78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8"/>
      <c r="Z296" s="78"/>
    </row>
    <row r="297" spans="1:26" ht="12.75" customHeight="1" x14ac:dyDescent="0.2">
      <c r="A297" s="78"/>
      <c r="B297" s="78"/>
      <c r="C297" s="78"/>
      <c r="D297" s="78"/>
      <c r="E297" s="78"/>
      <c r="F297" s="78"/>
      <c r="G297" s="78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  <c r="Z297" s="78"/>
    </row>
    <row r="298" spans="1:26" ht="12.75" customHeight="1" x14ac:dyDescent="0.2">
      <c r="A298" s="78"/>
      <c r="B298" s="78"/>
      <c r="C298" s="78"/>
      <c r="D298" s="78"/>
      <c r="E298" s="78"/>
      <c r="F298" s="78"/>
      <c r="G298" s="78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  <c r="Z298" s="78"/>
    </row>
    <row r="299" spans="1:26" ht="12.75" customHeight="1" x14ac:dyDescent="0.2">
      <c r="A299" s="78"/>
      <c r="B299" s="78"/>
      <c r="C299" s="78"/>
      <c r="D299" s="78"/>
      <c r="E299" s="78"/>
      <c r="F299" s="78"/>
      <c r="G299" s="78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  <c r="Z299" s="78"/>
    </row>
    <row r="300" spans="1:26" ht="12.75" customHeight="1" x14ac:dyDescent="0.2">
      <c r="A300" s="78"/>
      <c r="B300" s="78"/>
      <c r="C300" s="78"/>
      <c r="D300" s="78"/>
      <c r="E300" s="78"/>
      <c r="F300" s="78"/>
      <c r="G300" s="78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  <c r="Z300" s="78"/>
    </row>
    <row r="301" spans="1:26" ht="12.75" customHeight="1" x14ac:dyDescent="0.2">
      <c r="A301" s="78"/>
      <c r="B301" s="78"/>
      <c r="C301" s="78"/>
      <c r="D301" s="78"/>
      <c r="E301" s="78"/>
      <c r="F301" s="78"/>
      <c r="G301" s="78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  <c r="Z301" s="78"/>
    </row>
    <row r="302" spans="1:26" ht="12.75" customHeight="1" x14ac:dyDescent="0.2">
      <c r="A302" s="78"/>
      <c r="B302" s="78"/>
      <c r="C302" s="78"/>
      <c r="D302" s="78"/>
      <c r="E302" s="78"/>
      <c r="F302" s="78"/>
      <c r="G302" s="78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  <c r="Z302" s="78"/>
    </row>
    <row r="303" spans="1:26" ht="12.75" customHeight="1" x14ac:dyDescent="0.2">
      <c r="A303" s="78"/>
      <c r="B303" s="78"/>
      <c r="C303" s="78"/>
      <c r="D303" s="78"/>
      <c r="E303" s="78"/>
      <c r="F303" s="78"/>
      <c r="G303" s="78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  <c r="Z303" s="78"/>
    </row>
    <row r="304" spans="1:26" ht="12.75" customHeight="1" x14ac:dyDescent="0.2">
      <c r="A304" s="78"/>
      <c r="B304" s="78"/>
      <c r="C304" s="78"/>
      <c r="D304" s="78"/>
      <c r="E304" s="78"/>
      <c r="F304" s="78"/>
      <c r="G304" s="78"/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8"/>
      <c r="Z304" s="78"/>
    </row>
    <row r="305" spans="1:26" ht="12.75" customHeight="1" x14ac:dyDescent="0.2">
      <c r="A305" s="78"/>
      <c r="B305" s="78"/>
      <c r="C305" s="78"/>
      <c r="D305" s="78"/>
      <c r="E305" s="78"/>
      <c r="F305" s="78"/>
      <c r="G305" s="78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  <c r="Z305" s="78"/>
    </row>
    <row r="306" spans="1:26" ht="12.75" customHeight="1" x14ac:dyDescent="0.2">
      <c r="A306" s="78"/>
      <c r="B306" s="78"/>
      <c r="C306" s="78"/>
      <c r="D306" s="78"/>
      <c r="E306" s="78"/>
      <c r="F306" s="78"/>
      <c r="G306" s="78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  <c r="Z306" s="78"/>
    </row>
    <row r="307" spans="1:26" ht="12.75" customHeight="1" x14ac:dyDescent="0.2">
      <c r="A307" s="78"/>
      <c r="B307" s="78"/>
      <c r="C307" s="78"/>
      <c r="D307" s="78"/>
      <c r="E307" s="78"/>
      <c r="F307" s="78"/>
      <c r="G307" s="78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  <c r="Z307" s="78"/>
    </row>
    <row r="308" spans="1:26" ht="12.75" customHeight="1" x14ac:dyDescent="0.2">
      <c r="A308" s="78"/>
      <c r="B308" s="78"/>
      <c r="C308" s="78"/>
      <c r="D308" s="78"/>
      <c r="E308" s="78"/>
      <c r="F308" s="78"/>
      <c r="G308" s="78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  <c r="Z308" s="78"/>
    </row>
    <row r="309" spans="1:26" ht="12.75" customHeight="1" x14ac:dyDescent="0.2">
      <c r="A309" s="78"/>
      <c r="B309" s="78"/>
      <c r="C309" s="78"/>
      <c r="D309" s="78"/>
      <c r="E309" s="78"/>
      <c r="F309" s="78"/>
      <c r="G309" s="78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  <c r="Z309" s="78"/>
    </row>
    <row r="310" spans="1:26" ht="12.75" customHeight="1" x14ac:dyDescent="0.2">
      <c r="A310" s="78"/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</row>
    <row r="311" spans="1:26" ht="12.75" customHeight="1" x14ac:dyDescent="0.2">
      <c r="A311" s="78"/>
      <c r="B311" s="78"/>
      <c r="C311" s="78"/>
      <c r="D311" s="78"/>
      <c r="E311" s="78"/>
      <c r="F311" s="78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</row>
    <row r="312" spans="1:26" ht="12.75" customHeight="1" x14ac:dyDescent="0.2">
      <c r="A312" s="78"/>
      <c r="B312" s="78"/>
      <c r="C312" s="78"/>
      <c r="D312" s="78"/>
      <c r="E312" s="78"/>
      <c r="F312" s="78"/>
      <c r="G312" s="78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8"/>
    </row>
    <row r="313" spans="1:26" ht="12.75" customHeight="1" x14ac:dyDescent="0.2">
      <c r="A313" s="78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</row>
    <row r="314" spans="1:26" ht="12.75" customHeight="1" x14ac:dyDescent="0.2">
      <c r="A314" s="78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</row>
    <row r="315" spans="1:26" ht="12.75" customHeight="1" x14ac:dyDescent="0.2">
      <c r="A315" s="78"/>
      <c r="B315" s="78"/>
      <c r="C315" s="78"/>
      <c r="D315" s="78"/>
      <c r="E315" s="78"/>
      <c r="F315" s="78"/>
      <c r="G315" s="78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  <c r="Z315" s="78"/>
    </row>
    <row r="316" spans="1:26" ht="12.75" customHeight="1" x14ac:dyDescent="0.2">
      <c r="A316" s="78"/>
      <c r="B316" s="78"/>
      <c r="C316" s="78"/>
      <c r="D316" s="78"/>
      <c r="E316" s="78"/>
      <c r="F316" s="78"/>
      <c r="G316" s="78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  <c r="Z316" s="78"/>
    </row>
    <row r="317" spans="1:26" ht="12.75" customHeight="1" x14ac:dyDescent="0.2">
      <c r="A317" s="78"/>
      <c r="B317" s="78"/>
      <c r="C317" s="78"/>
      <c r="D317" s="78"/>
      <c r="E317" s="78"/>
      <c r="F317" s="78"/>
      <c r="G317" s="78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  <c r="Z317" s="78"/>
    </row>
    <row r="318" spans="1:26" ht="12.75" customHeight="1" x14ac:dyDescent="0.2">
      <c r="A318" s="78"/>
      <c r="B318" s="78"/>
      <c r="C318" s="78"/>
      <c r="D318" s="78"/>
      <c r="E318" s="78"/>
      <c r="F318" s="78"/>
      <c r="G318" s="78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  <c r="Z318" s="78"/>
    </row>
    <row r="319" spans="1:26" ht="12.75" customHeight="1" x14ac:dyDescent="0.2">
      <c r="A319" s="78"/>
      <c r="B319" s="78"/>
      <c r="C319" s="78"/>
      <c r="D319" s="78"/>
      <c r="E319" s="78"/>
      <c r="F319" s="78"/>
      <c r="G319" s="78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  <c r="Z319" s="78"/>
    </row>
    <row r="320" spans="1:26" ht="12.75" customHeight="1" x14ac:dyDescent="0.2">
      <c r="A320" s="78"/>
      <c r="B320" s="78"/>
      <c r="C320" s="78"/>
      <c r="D320" s="78"/>
      <c r="E320" s="78"/>
      <c r="F320" s="78"/>
      <c r="G320" s="78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  <c r="Z320" s="78"/>
    </row>
    <row r="321" spans="1:26" ht="12.75" customHeight="1" x14ac:dyDescent="0.2">
      <c r="A321" s="78"/>
      <c r="B321" s="78"/>
      <c r="C321" s="78"/>
      <c r="D321" s="78"/>
      <c r="E321" s="78"/>
      <c r="F321" s="78"/>
      <c r="G321" s="78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  <c r="Z321" s="78"/>
    </row>
    <row r="322" spans="1:26" ht="12.75" customHeight="1" x14ac:dyDescent="0.2">
      <c r="A322" s="78"/>
      <c r="B322" s="78"/>
      <c r="C322" s="78"/>
      <c r="D322" s="78"/>
      <c r="E322" s="78"/>
      <c r="F322" s="78"/>
      <c r="G322" s="78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</row>
    <row r="323" spans="1:26" ht="12.75" customHeight="1" x14ac:dyDescent="0.2">
      <c r="A323" s="78"/>
      <c r="B323" s="78"/>
      <c r="C323" s="78"/>
      <c r="D323" s="78"/>
      <c r="E323" s="78"/>
      <c r="F323" s="78"/>
      <c r="G323" s="78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</row>
    <row r="324" spans="1:26" ht="12.75" customHeight="1" x14ac:dyDescent="0.2">
      <c r="A324" s="78"/>
      <c r="B324" s="78"/>
      <c r="C324" s="78"/>
      <c r="D324" s="78"/>
      <c r="E324" s="78"/>
      <c r="F324" s="78"/>
      <c r="G324" s="78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</row>
    <row r="325" spans="1:26" ht="12.75" customHeight="1" x14ac:dyDescent="0.2">
      <c r="A325" s="78"/>
      <c r="B325" s="78"/>
      <c r="C325" s="78"/>
      <c r="D325" s="78"/>
      <c r="E325" s="78"/>
      <c r="F325" s="78"/>
      <c r="G325" s="78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  <c r="Z325" s="78"/>
    </row>
    <row r="326" spans="1:26" ht="12.75" customHeight="1" x14ac:dyDescent="0.2">
      <c r="A326" s="78"/>
      <c r="B326" s="78"/>
      <c r="C326" s="78"/>
      <c r="D326" s="78"/>
      <c r="E326" s="78"/>
      <c r="F326" s="78"/>
      <c r="G326" s="78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  <c r="Z326" s="78"/>
    </row>
    <row r="327" spans="1:26" ht="12.75" customHeight="1" x14ac:dyDescent="0.2">
      <c r="A327" s="78"/>
      <c r="B327" s="78"/>
      <c r="C327" s="78"/>
      <c r="D327" s="78"/>
      <c r="E327" s="78"/>
      <c r="F327" s="78"/>
      <c r="G327" s="78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</row>
    <row r="328" spans="1:26" ht="12.75" customHeight="1" x14ac:dyDescent="0.2">
      <c r="A328" s="78"/>
      <c r="B328" s="78"/>
      <c r="C328" s="78"/>
      <c r="D328" s="78"/>
      <c r="E328" s="78"/>
      <c r="F328" s="78"/>
      <c r="G328" s="78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</row>
    <row r="329" spans="1:26" ht="12.75" customHeight="1" x14ac:dyDescent="0.2">
      <c r="A329" s="78"/>
      <c r="B329" s="78"/>
      <c r="C329" s="78"/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</row>
    <row r="330" spans="1:26" ht="12.75" customHeight="1" x14ac:dyDescent="0.2">
      <c r="A330" s="78"/>
      <c r="B330" s="78"/>
      <c r="C330" s="78"/>
      <c r="D330" s="78"/>
      <c r="E330" s="78"/>
      <c r="F330" s="78"/>
      <c r="G330" s="78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</row>
    <row r="331" spans="1:26" ht="12.75" customHeight="1" x14ac:dyDescent="0.2">
      <c r="A331" s="78"/>
      <c r="B331" s="78"/>
      <c r="C331" s="78"/>
      <c r="D331" s="78"/>
      <c r="E331" s="78"/>
      <c r="F331" s="78"/>
      <c r="G331" s="78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</row>
    <row r="332" spans="1:26" ht="12.75" customHeight="1" x14ac:dyDescent="0.2">
      <c r="A332" s="78"/>
      <c r="B332" s="78"/>
      <c r="C332" s="78"/>
      <c r="D332" s="78"/>
      <c r="E332" s="78"/>
      <c r="F332" s="78"/>
      <c r="G332" s="78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</row>
    <row r="333" spans="1:26" ht="12.75" customHeight="1" x14ac:dyDescent="0.2">
      <c r="A333" s="78"/>
      <c r="B333" s="78"/>
      <c r="C333" s="78"/>
      <c r="D333" s="78"/>
      <c r="E333" s="78"/>
      <c r="F333" s="78"/>
      <c r="G333" s="78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  <c r="Z333" s="78"/>
    </row>
    <row r="334" spans="1:26" ht="12.75" customHeight="1" x14ac:dyDescent="0.2">
      <c r="A334" s="78"/>
      <c r="B334" s="78"/>
      <c r="C334" s="78"/>
      <c r="D334" s="78"/>
      <c r="E334" s="78"/>
      <c r="F334" s="78"/>
      <c r="G334" s="78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</row>
    <row r="335" spans="1:26" ht="12.75" customHeight="1" x14ac:dyDescent="0.2">
      <c r="A335" s="78"/>
      <c r="B335" s="78"/>
      <c r="C335" s="78"/>
      <c r="D335" s="78"/>
      <c r="E335" s="78"/>
      <c r="F335" s="78"/>
      <c r="G335" s="78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  <c r="Z335" s="78"/>
    </row>
    <row r="336" spans="1:26" ht="12.75" customHeight="1" x14ac:dyDescent="0.2">
      <c r="A336" s="78"/>
      <c r="B336" s="78"/>
      <c r="C336" s="78"/>
      <c r="D336" s="78"/>
      <c r="E336" s="78"/>
      <c r="F336" s="78"/>
      <c r="G336" s="78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</row>
    <row r="337" spans="1:26" ht="12.75" customHeight="1" x14ac:dyDescent="0.2">
      <c r="A337" s="78"/>
      <c r="B337" s="78"/>
      <c r="C337" s="78"/>
      <c r="D337" s="78"/>
      <c r="E337" s="78"/>
      <c r="F337" s="78"/>
      <c r="G337" s="78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  <c r="Z337" s="78"/>
    </row>
    <row r="338" spans="1:26" ht="12.75" customHeight="1" x14ac:dyDescent="0.2">
      <c r="A338" s="78"/>
      <c r="B338" s="78"/>
      <c r="C338" s="78"/>
      <c r="D338" s="78"/>
      <c r="E338" s="78"/>
      <c r="F338" s="78"/>
      <c r="G338" s="78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</row>
    <row r="339" spans="1:26" ht="12.75" customHeight="1" x14ac:dyDescent="0.2">
      <c r="A339" s="78"/>
      <c r="B339" s="78"/>
      <c r="C339" s="78"/>
      <c r="D339" s="78"/>
      <c r="E339" s="78"/>
      <c r="F339" s="78"/>
      <c r="G339" s="78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</row>
    <row r="340" spans="1:26" ht="12.75" customHeight="1" x14ac:dyDescent="0.2">
      <c r="A340" s="78"/>
      <c r="B340" s="78"/>
      <c r="C340" s="78"/>
      <c r="D340" s="78"/>
      <c r="E340" s="78"/>
      <c r="F340" s="78"/>
      <c r="G340" s="78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</row>
    <row r="341" spans="1:26" ht="12.75" customHeight="1" x14ac:dyDescent="0.2">
      <c r="A341" s="78"/>
      <c r="B341" s="78"/>
      <c r="C341" s="78"/>
      <c r="D341" s="78"/>
      <c r="E341" s="78"/>
      <c r="F341" s="78"/>
      <c r="G341" s="78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  <c r="Z341" s="78"/>
    </row>
    <row r="342" spans="1:26" ht="12.75" customHeight="1" x14ac:dyDescent="0.2">
      <c r="A342" s="78"/>
      <c r="B342" s="78"/>
      <c r="C342" s="78"/>
      <c r="D342" s="78"/>
      <c r="E342" s="78"/>
      <c r="F342" s="78"/>
      <c r="G342" s="78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</row>
    <row r="343" spans="1:26" ht="12.75" customHeight="1" x14ac:dyDescent="0.2">
      <c r="A343" s="78"/>
      <c r="B343" s="78"/>
      <c r="C343" s="78"/>
      <c r="D343" s="78"/>
      <c r="E343" s="78"/>
      <c r="F343" s="78"/>
      <c r="G343" s="78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</row>
    <row r="344" spans="1:26" ht="12.75" customHeight="1" x14ac:dyDescent="0.2">
      <c r="A344" s="78"/>
      <c r="B344" s="78"/>
      <c r="C344" s="78"/>
      <c r="D344" s="78"/>
      <c r="E344" s="78"/>
      <c r="F344" s="78"/>
      <c r="G344" s="78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</row>
    <row r="345" spans="1:26" ht="12.75" customHeight="1" x14ac:dyDescent="0.2">
      <c r="A345" s="78"/>
      <c r="B345" s="78"/>
      <c r="C345" s="78"/>
      <c r="D345" s="78"/>
      <c r="E345" s="78"/>
      <c r="F345" s="78"/>
      <c r="G345" s="78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</row>
    <row r="346" spans="1:26" ht="12.75" customHeight="1" x14ac:dyDescent="0.2">
      <c r="A346" s="78"/>
      <c r="B346" s="78"/>
      <c r="C346" s="78"/>
      <c r="D346" s="78"/>
      <c r="E346" s="78"/>
      <c r="F346" s="78"/>
      <c r="G346" s="78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</row>
    <row r="347" spans="1:26" ht="12.75" customHeight="1" x14ac:dyDescent="0.2">
      <c r="A347" s="78"/>
      <c r="B347" s="78"/>
      <c r="C347" s="78"/>
      <c r="D347" s="78"/>
      <c r="E347" s="78"/>
      <c r="F347" s="78"/>
      <c r="G347" s="78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</row>
    <row r="348" spans="1:26" ht="12.75" customHeight="1" x14ac:dyDescent="0.2">
      <c r="A348" s="78"/>
      <c r="B348" s="78"/>
      <c r="C348" s="78"/>
      <c r="D348" s="78"/>
      <c r="E348" s="78"/>
      <c r="F348" s="78"/>
      <c r="G348" s="78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</row>
    <row r="349" spans="1:26" ht="12.75" customHeight="1" x14ac:dyDescent="0.2">
      <c r="A349" s="78"/>
      <c r="B349" s="78"/>
      <c r="C349" s="78"/>
      <c r="D349" s="78"/>
      <c r="E349" s="78"/>
      <c r="F349" s="78"/>
      <c r="G349" s="78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</row>
    <row r="350" spans="1:26" ht="12.75" customHeight="1" x14ac:dyDescent="0.2">
      <c r="A350" s="78"/>
      <c r="B350" s="78"/>
      <c r="C350" s="78"/>
      <c r="D350" s="78"/>
      <c r="E350" s="78"/>
      <c r="F350" s="78"/>
      <c r="G350" s="78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</row>
    <row r="351" spans="1:26" ht="12.75" customHeight="1" x14ac:dyDescent="0.2">
      <c r="A351" s="78"/>
      <c r="B351" s="78"/>
      <c r="C351" s="78"/>
      <c r="D351" s="78"/>
      <c r="E351" s="78"/>
      <c r="F351" s="78"/>
      <c r="G351" s="78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</row>
    <row r="352" spans="1:26" ht="12.75" customHeight="1" x14ac:dyDescent="0.2">
      <c r="A352" s="78"/>
      <c r="B352" s="78"/>
      <c r="C352" s="78"/>
      <c r="D352" s="78"/>
      <c r="E352" s="78"/>
      <c r="F352" s="78"/>
      <c r="G352" s="78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</row>
    <row r="353" spans="1:26" ht="12.75" customHeight="1" x14ac:dyDescent="0.2">
      <c r="A353" s="78"/>
      <c r="B353" s="78"/>
      <c r="C353" s="78"/>
      <c r="D353" s="78"/>
      <c r="E353" s="78"/>
      <c r="F353" s="78"/>
      <c r="G353" s="78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</row>
    <row r="354" spans="1:26" ht="12.75" customHeight="1" x14ac:dyDescent="0.2">
      <c r="A354" s="78"/>
      <c r="B354" s="78"/>
      <c r="C354" s="78"/>
      <c r="D354" s="78"/>
      <c r="E354" s="78"/>
      <c r="F354" s="78"/>
      <c r="G354" s="78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</row>
    <row r="355" spans="1:26" ht="12.75" customHeight="1" x14ac:dyDescent="0.2">
      <c r="A355" s="78"/>
      <c r="B355" s="78"/>
      <c r="C355" s="78"/>
      <c r="D355" s="78"/>
      <c r="E355" s="78"/>
      <c r="F355" s="78"/>
      <c r="G355" s="78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</row>
    <row r="356" spans="1:26" ht="12.75" customHeight="1" x14ac:dyDescent="0.2">
      <c r="A356" s="78"/>
      <c r="B356" s="78"/>
      <c r="C356" s="78"/>
      <c r="D356" s="78"/>
      <c r="E356" s="78"/>
      <c r="F356" s="78"/>
      <c r="G356" s="78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  <c r="Z356" s="78"/>
    </row>
    <row r="357" spans="1:26" ht="12.75" customHeight="1" x14ac:dyDescent="0.2">
      <c r="A357" s="78"/>
      <c r="B357" s="78"/>
      <c r="C357" s="78"/>
      <c r="D357" s="78"/>
      <c r="E357" s="78"/>
      <c r="F357" s="78"/>
      <c r="G357" s="78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</row>
    <row r="358" spans="1:26" ht="12.75" customHeight="1" x14ac:dyDescent="0.2">
      <c r="A358" s="78"/>
      <c r="B358" s="78"/>
      <c r="C358" s="78"/>
      <c r="D358" s="78"/>
      <c r="E358" s="78"/>
      <c r="F358" s="78"/>
      <c r="G358" s="78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</row>
    <row r="359" spans="1:26" ht="12.75" customHeight="1" x14ac:dyDescent="0.2">
      <c r="A359" s="78"/>
      <c r="B359" s="78"/>
      <c r="C359" s="78"/>
      <c r="D359" s="78"/>
      <c r="E359" s="78"/>
      <c r="F359" s="78"/>
      <c r="G359" s="78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</row>
    <row r="360" spans="1:26" ht="12.75" customHeight="1" x14ac:dyDescent="0.2">
      <c r="A360" s="78"/>
      <c r="B360" s="78"/>
      <c r="C360" s="78"/>
      <c r="D360" s="78"/>
      <c r="E360" s="78"/>
      <c r="F360" s="78"/>
      <c r="G360" s="78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</row>
    <row r="361" spans="1:26" ht="12.75" customHeight="1" x14ac:dyDescent="0.2">
      <c r="A361" s="78"/>
      <c r="B361" s="78"/>
      <c r="C361" s="78"/>
      <c r="D361" s="78"/>
      <c r="E361" s="78"/>
      <c r="F361" s="78"/>
      <c r="G361" s="78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</row>
    <row r="362" spans="1:26" ht="12.75" customHeight="1" x14ac:dyDescent="0.2">
      <c r="A362" s="78"/>
      <c r="B362" s="78"/>
      <c r="C362" s="78"/>
      <c r="D362" s="78"/>
      <c r="E362" s="78"/>
      <c r="F362" s="78"/>
      <c r="G362" s="78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</row>
    <row r="363" spans="1:26" ht="12.75" customHeight="1" x14ac:dyDescent="0.2">
      <c r="A363" s="78"/>
      <c r="B363" s="78"/>
      <c r="C363" s="78"/>
      <c r="D363" s="78"/>
      <c r="E363" s="78"/>
      <c r="F363" s="78"/>
      <c r="G363" s="78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</row>
    <row r="364" spans="1:26" ht="12.75" customHeight="1" x14ac:dyDescent="0.2">
      <c r="A364" s="78"/>
      <c r="B364" s="78"/>
      <c r="C364" s="78"/>
      <c r="D364" s="78"/>
      <c r="E364" s="78"/>
      <c r="F364" s="78"/>
      <c r="G364" s="78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</row>
    <row r="365" spans="1:26" ht="12.75" customHeight="1" x14ac:dyDescent="0.2">
      <c r="A365" s="78"/>
      <c r="B365" s="78"/>
      <c r="C365" s="78"/>
      <c r="D365" s="78"/>
      <c r="E365" s="78"/>
      <c r="F365" s="78"/>
      <c r="G365" s="78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</row>
    <row r="366" spans="1:26" ht="12.75" customHeight="1" x14ac:dyDescent="0.2">
      <c r="A366" s="78"/>
      <c r="B366" s="78"/>
      <c r="C366" s="78"/>
      <c r="D366" s="78"/>
      <c r="E366" s="78"/>
      <c r="F366" s="78"/>
      <c r="G366" s="78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</row>
    <row r="367" spans="1:26" ht="12.75" customHeight="1" x14ac:dyDescent="0.2">
      <c r="A367" s="78"/>
      <c r="B367" s="78"/>
      <c r="C367" s="78"/>
      <c r="D367" s="78"/>
      <c r="E367" s="78"/>
      <c r="F367" s="78"/>
      <c r="G367" s="78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  <c r="Z367" s="78"/>
    </row>
    <row r="368" spans="1:26" ht="12.75" customHeight="1" x14ac:dyDescent="0.2">
      <c r="A368" s="78"/>
      <c r="B368" s="78"/>
      <c r="C368" s="78"/>
      <c r="D368" s="78"/>
      <c r="E368" s="78"/>
      <c r="F368" s="78"/>
      <c r="G368" s="78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  <c r="Z368" s="78"/>
    </row>
    <row r="369" spans="1:26" ht="12.75" customHeight="1" x14ac:dyDescent="0.2">
      <c r="A369" s="78"/>
      <c r="B369" s="78"/>
      <c r="C369" s="78"/>
      <c r="D369" s="78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</row>
    <row r="370" spans="1:26" ht="12.75" customHeight="1" x14ac:dyDescent="0.2">
      <c r="A370" s="78"/>
      <c r="B370" s="78"/>
      <c r="C370" s="78"/>
      <c r="D370" s="78"/>
      <c r="E370" s="78"/>
      <c r="F370" s="78"/>
      <c r="G370" s="78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  <c r="Z370" s="78"/>
    </row>
    <row r="371" spans="1:26" ht="12.75" customHeight="1" x14ac:dyDescent="0.2">
      <c r="A371" s="78"/>
      <c r="B371" s="78"/>
      <c r="C371" s="78"/>
      <c r="D371" s="78"/>
      <c r="E371" s="78"/>
      <c r="F371" s="78"/>
      <c r="G371" s="78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  <c r="Z371" s="78"/>
    </row>
    <row r="372" spans="1:26" ht="12.75" customHeight="1" x14ac:dyDescent="0.2">
      <c r="A372" s="78"/>
      <c r="B372" s="78"/>
      <c r="C372" s="78"/>
      <c r="D372" s="78"/>
      <c r="E372" s="78"/>
      <c r="F372" s="78"/>
      <c r="G372" s="78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  <c r="Z372" s="78"/>
    </row>
    <row r="373" spans="1:26" ht="12.75" customHeight="1" x14ac:dyDescent="0.2">
      <c r="A373" s="78"/>
      <c r="B373" s="78"/>
      <c r="C373" s="78"/>
      <c r="D373" s="78"/>
      <c r="E373" s="78"/>
      <c r="F373" s="78"/>
      <c r="G373" s="78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  <c r="Z373" s="78"/>
    </row>
    <row r="374" spans="1:26" ht="12.75" customHeight="1" x14ac:dyDescent="0.2">
      <c r="A374" s="78"/>
      <c r="B374" s="78"/>
      <c r="C374" s="78"/>
      <c r="D374" s="78"/>
      <c r="E374" s="78"/>
      <c r="F374" s="78"/>
      <c r="G374" s="78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  <c r="Z374" s="78"/>
    </row>
    <row r="375" spans="1:26" ht="12.75" customHeight="1" x14ac:dyDescent="0.2">
      <c r="A375" s="78"/>
      <c r="B375" s="78"/>
      <c r="C375" s="78"/>
      <c r="D375" s="78"/>
      <c r="E375" s="78"/>
      <c r="F375" s="78"/>
      <c r="G375" s="78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  <c r="Z375" s="78"/>
    </row>
    <row r="376" spans="1:26" ht="12.75" customHeight="1" x14ac:dyDescent="0.2">
      <c r="A376" s="78"/>
      <c r="B376" s="78"/>
      <c r="C376" s="78"/>
      <c r="D376" s="78"/>
      <c r="E376" s="78"/>
      <c r="F376" s="78"/>
      <c r="G376" s="78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  <c r="Z376" s="78"/>
    </row>
    <row r="377" spans="1:26" ht="12.75" customHeight="1" x14ac:dyDescent="0.2">
      <c r="A377" s="78"/>
      <c r="B377" s="78"/>
      <c r="C377" s="78"/>
      <c r="D377" s="78"/>
      <c r="E377" s="78"/>
      <c r="F377" s="78"/>
      <c r="G377" s="78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  <c r="Z377" s="78"/>
    </row>
    <row r="378" spans="1:26" ht="12.75" customHeight="1" x14ac:dyDescent="0.2">
      <c r="A378" s="78"/>
      <c r="B378" s="78"/>
      <c r="C378" s="78"/>
      <c r="D378" s="78"/>
      <c r="E378" s="78"/>
      <c r="F378" s="78"/>
      <c r="G378" s="78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  <c r="Z378" s="78"/>
    </row>
    <row r="379" spans="1:26" ht="12.75" customHeight="1" x14ac:dyDescent="0.2">
      <c r="A379" s="78"/>
      <c r="B379" s="78"/>
      <c r="C379" s="78"/>
      <c r="D379" s="78"/>
      <c r="E379" s="78"/>
      <c r="F379" s="78"/>
      <c r="G379" s="78"/>
      <c r="H379" s="78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  <c r="Z379" s="78"/>
    </row>
    <row r="380" spans="1:26" ht="12.75" customHeight="1" x14ac:dyDescent="0.2">
      <c r="A380" s="78"/>
      <c r="B380" s="78"/>
      <c r="C380" s="78"/>
      <c r="D380" s="78"/>
      <c r="E380" s="78"/>
      <c r="F380" s="78"/>
      <c r="G380" s="78"/>
      <c r="H380" s="78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  <c r="Z380" s="78"/>
    </row>
    <row r="381" spans="1:26" ht="12.75" customHeight="1" x14ac:dyDescent="0.2">
      <c r="A381" s="78"/>
      <c r="B381" s="78"/>
      <c r="C381" s="78"/>
      <c r="D381" s="78"/>
      <c r="E381" s="78"/>
      <c r="F381" s="78"/>
      <c r="G381" s="78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  <c r="Z381" s="78"/>
    </row>
    <row r="382" spans="1:26" ht="12.75" customHeight="1" x14ac:dyDescent="0.2">
      <c r="A382" s="78"/>
      <c r="B382" s="78"/>
      <c r="C382" s="78"/>
      <c r="D382" s="78"/>
      <c r="E382" s="78"/>
      <c r="F382" s="78"/>
      <c r="G382" s="78"/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  <c r="Z382" s="78"/>
    </row>
    <row r="383" spans="1:26" ht="12.75" customHeight="1" x14ac:dyDescent="0.2">
      <c r="A383" s="78"/>
      <c r="B383" s="78"/>
      <c r="C383" s="78"/>
      <c r="D383" s="78"/>
      <c r="E383" s="78"/>
      <c r="F383" s="78"/>
      <c r="G383" s="78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  <c r="Z383" s="78"/>
    </row>
    <row r="384" spans="1:26" ht="12.75" customHeight="1" x14ac:dyDescent="0.2">
      <c r="A384" s="78"/>
      <c r="B384" s="78"/>
      <c r="C384" s="78"/>
      <c r="D384" s="78"/>
      <c r="E384" s="78"/>
      <c r="F384" s="78"/>
      <c r="G384" s="78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  <c r="Z384" s="78"/>
    </row>
    <row r="385" spans="1:26" ht="12.75" customHeight="1" x14ac:dyDescent="0.2">
      <c r="A385" s="78"/>
      <c r="B385" s="78"/>
      <c r="C385" s="78"/>
      <c r="D385" s="78"/>
      <c r="E385" s="78"/>
      <c r="F385" s="78"/>
      <c r="G385" s="78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  <c r="Z385" s="78"/>
    </row>
    <row r="386" spans="1:26" ht="12.75" customHeight="1" x14ac:dyDescent="0.2">
      <c r="A386" s="78"/>
      <c r="B386" s="78"/>
      <c r="C386" s="78"/>
      <c r="D386" s="78"/>
      <c r="E386" s="78"/>
      <c r="F386" s="78"/>
      <c r="G386" s="78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  <c r="Z386" s="78"/>
    </row>
    <row r="387" spans="1:26" ht="12.75" customHeight="1" x14ac:dyDescent="0.2">
      <c r="A387" s="78"/>
      <c r="B387" s="78"/>
      <c r="C387" s="78"/>
      <c r="D387" s="78"/>
      <c r="E387" s="78"/>
      <c r="F387" s="78"/>
      <c r="G387" s="78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  <c r="Z387" s="78"/>
    </row>
    <row r="388" spans="1:26" ht="12.75" customHeight="1" x14ac:dyDescent="0.2">
      <c r="A388" s="78"/>
      <c r="B388" s="78"/>
      <c r="C388" s="78"/>
      <c r="D388" s="78"/>
      <c r="E388" s="78"/>
      <c r="F388" s="78"/>
      <c r="G388" s="78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  <c r="Z388" s="78"/>
    </row>
    <row r="389" spans="1:26" ht="12.75" customHeight="1" x14ac:dyDescent="0.2">
      <c r="A389" s="78"/>
      <c r="B389" s="78"/>
      <c r="C389" s="78"/>
      <c r="D389" s="78"/>
      <c r="E389" s="78"/>
      <c r="F389" s="78"/>
      <c r="G389" s="78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  <c r="Z389" s="78"/>
    </row>
    <row r="390" spans="1:26" ht="12.75" customHeight="1" x14ac:dyDescent="0.2">
      <c r="A390" s="78"/>
      <c r="B390" s="78"/>
      <c r="C390" s="78"/>
      <c r="D390" s="78"/>
      <c r="E390" s="78"/>
      <c r="F390" s="78"/>
      <c r="G390" s="78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  <c r="Z390" s="78"/>
    </row>
    <row r="391" spans="1:26" ht="12.75" customHeight="1" x14ac:dyDescent="0.2">
      <c r="A391" s="78"/>
      <c r="B391" s="78"/>
      <c r="C391" s="78"/>
      <c r="D391" s="78"/>
      <c r="E391" s="78"/>
      <c r="F391" s="78"/>
      <c r="G391" s="78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  <c r="Z391" s="78"/>
    </row>
    <row r="392" spans="1:26" ht="12.75" customHeight="1" x14ac:dyDescent="0.2">
      <c r="A392" s="78"/>
      <c r="B392" s="78"/>
      <c r="C392" s="78"/>
      <c r="D392" s="78"/>
      <c r="E392" s="78"/>
      <c r="F392" s="78"/>
      <c r="G392" s="78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  <c r="Z392" s="78"/>
    </row>
    <row r="393" spans="1:26" ht="12.75" customHeight="1" x14ac:dyDescent="0.2">
      <c r="A393" s="78"/>
      <c r="B393" s="78"/>
      <c r="C393" s="78"/>
      <c r="D393" s="78"/>
      <c r="E393" s="78"/>
      <c r="F393" s="78"/>
      <c r="G393" s="78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  <c r="Z393" s="78"/>
    </row>
    <row r="394" spans="1:26" ht="12.75" customHeight="1" x14ac:dyDescent="0.2">
      <c r="A394" s="78"/>
      <c r="B394" s="78"/>
      <c r="C394" s="78"/>
      <c r="D394" s="78"/>
      <c r="E394" s="78"/>
      <c r="F394" s="78"/>
      <c r="G394" s="78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  <c r="Z394" s="78"/>
    </row>
    <row r="395" spans="1:26" ht="12.75" customHeight="1" x14ac:dyDescent="0.2">
      <c r="A395" s="78"/>
      <c r="B395" s="78"/>
      <c r="C395" s="78"/>
      <c r="D395" s="78"/>
      <c r="E395" s="78"/>
      <c r="F395" s="78"/>
      <c r="G395" s="78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  <c r="Z395" s="78"/>
    </row>
    <row r="396" spans="1:26" ht="12.75" customHeight="1" x14ac:dyDescent="0.2">
      <c r="A396" s="78"/>
      <c r="B396" s="78"/>
      <c r="C396" s="78"/>
      <c r="D396" s="78"/>
      <c r="E396" s="78"/>
      <c r="F396" s="78"/>
      <c r="G396" s="78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  <c r="Z396" s="78"/>
    </row>
    <row r="397" spans="1:26" ht="12.75" customHeight="1" x14ac:dyDescent="0.2">
      <c r="A397" s="78"/>
      <c r="B397" s="78"/>
      <c r="C397" s="78"/>
      <c r="D397" s="78"/>
      <c r="E397" s="78"/>
      <c r="F397" s="78"/>
      <c r="G397" s="78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  <c r="Z397" s="78"/>
    </row>
    <row r="398" spans="1:26" ht="12.75" customHeight="1" x14ac:dyDescent="0.2">
      <c r="A398" s="78"/>
      <c r="B398" s="78"/>
      <c r="C398" s="78"/>
      <c r="D398" s="78"/>
      <c r="E398" s="78"/>
      <c r="F398" s="78"/>
      <c r="G398" s="78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  <c r="Z398" s="78"/>
    </row>
    <row r="399" spans="1:26" ht="12.75" customHeight="1" x14ac:dyDescent="0.2">
      <c r="A399" s="78"/>
      <c r="B399" s="78"/>
      <c r="C399" s="78"/>
      <c r="D399" s="78"/>
      <c r="E399" s="78"/>
      <c r="F399" s="78"/>
      <c r="G399" s="78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  <c r="Z399" s="78"/>
    </row>
    <row r="400" spans="1:26" ht="12.75" customHeight="1" x14ac:dyDescent="0.2">
      <c r="A400" s="78"/>
      <c r="B400" s="78"/>
      <c r="C400" s="78"/>
      <c r="D400" s="78"/>
      <c r="E400" s="78"/>
      <c r="F400" s="78"/>
      <c r="G400" s="78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  <c r="Z400" s="78"/>
    </row>
    <row r="401" spans="1:26" ht="12.75" customHeight="1" x14ac:dyDescent="0.2">
      <c r="A401" s="78"/>
      <c r="B401" s="78"/>
      <c r="C401" s="78"/>
      <c r="D401" s="78"/>
      <c r="E401" s="78"/>
      <c r="F401" s="78"/>
      <c r="G401" s="78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  <c r="Z401" s="78"/>
    </row>
    <row r="402" spans="1:26" ht="12.75" customHeight="1" x14ac:dyDescent="0.2">
      <c r="A402" s="78"/>
      <c r="B402" s="78"/>
      <c r="C402" s="78"/>
      <c r="D402" s="78"/>
      <c r="E402" s="78"/>
      <c r="F402" s="78"/>
      <c r="G402" s="78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  <c r="Z402" s="78"/>
    </row>
    <row r="403" spans="1:26" ht="12.75" customHeight="1" x14ac:dyDescent="0.2">
      <c r="A403" s="78"/>
      <c r="B403" s="78"/>
      <c r="C403" s="78"/>
      <c r="D403" s="78"/>
      <c r="E403" s="78"/>
      <c r="F403" s="78"/>
      <c r="G403" s="78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</row>
    <row r="404" spans="1:26" ht="12.75" customHeight="1" x14ac:dyDescent="0.2">
      <c r="A404" s="78"/>
      <c r="B404" s="78"/>
      <c r="C404" s="78"/>
      <c r="D404" s="78"/>
      <c r="E404" s="78"/>
      <c r="F404" s="78"/>
      <c r="G404" s="78"/>
      <c r="H404" s="78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  <c r="Z404" s="78"/>
    </row>
    <row r="405" spans="1:26" ht="12.75" customHeight="1" x14ac:dyDescent="0.2">
      <c r="A405" s="78"/>
      <c r="B405" s="78"/>
      <c r="C405" s="78"/>
      <c r="D405" s="78"/>
      <c r="E405" s="78"/>
      <c r="F405" s="78"/>
      <c r="G405" s="78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  <c r="Z405" s="78"/>
    </row>
    <row r="406" spans="1:26" ht="12.75" customHeight="1" x14ac:dyDescent="0.2">
      <c r="A406" s="78"/>
      <c r="B406" s="78"/>
      <c r="C406" s="78"/>
      <c r="D406" s="78"/>
      <c r="E406" s="78"/>
      <c r="F406" s="78"/>
      <c r="G406" s="78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  <c r="Z406" s="78"/>
    </row>
    <row r="407" spans="1:26" ht="12.75" customHeight="1" x14ac:dyDescent="0.2">
      <c r="A407" s="78"/>
      <c r="B407" s="78"/>
      <c r="C407" s="78"/>
      <c r="D407" s="78"/>
      <c r="E407" s="78"/>
      <c r="F407" s="78"/>
      <c r="G407" s="78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  <c r="Z407" s="78"/>
    </row>
    <row r="408" spans="1:26" ht="12.75" customHeight="1" x14ac:dyDescent="0.2">
      <c r="A408" s="78"/>
      <c r="B408" s="78"/>
      <c r="C408" s="78"/>
      <c r="D408" s="78"/>
      <c r="E408" s="78"/>
      <c r="F408" s="78"/>
      <c r="G408" s="78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  <c r="Z408" s="78"/>
    </row>
    <row r="409" spans="1:26" ht="12.75" customHeight="1" x14ac:dyDescent="0.2">
      <c r="A409" s="78"/>
      <c r="B409" s="78"/>
      <c r="C409" s="78"/>
      <c r="D409" s="78"/>
      <c r="E409" s="78"/>
      <c r="F409" s="78"/>
      <c r="G409" s="78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  <c r="Z409" s="78"/>
    </row>
    <row r="410" spans="1:26" ht="12.75" customHeight="1" x14ac:dyDescent="0.2">
      <c r="A410" s="78"/>
      <c r="B410" s="78"/>
      <c r="C410" s="78"/>
      <c r="D410" s="78"/>
      <c r="E410" s="78"/>
      <c r="F410" s="78"/>
      <c r="G410" s="78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  <c r="Z410" s="78"/>
    </row>
    <row r="411" spans="1:26" ht="12.75" customHeight="1" x14ac:dyDescent="0.2">
      <c r="A411" s="78"/>
      <c r="B411" s="78"/>
      <c r="C411" s="78"/>
      <c r="D411" s="78"/>
      <c r="E411" s="78"/>
      <c r="F411" s="78"/>
      <c r="G411" s="78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  <c r="Z411" s="78"/>
    </row>
    <row r="412" spans="1:26" ht="12.75" customHeight="1" x14ac:dyDescent="0.2">
      <c r="A412" s="78"/>
      <c r="B412" s="78"/>
      <c r="C412" s="78"/>
      <c r="D412" s="78"/>
      <c r="E412" s="78"/>
      <c r="F412" s="78"/>
      <c r="G412" s="78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  <c r="Z412" s="78"/>
    </row>
    <row r="413" spans="1:26" ht="12.75" customHeight="1" x14ac:dyDescent="0.2">
      <c r="A413" s="78"/>
      <c r="B413" s="78"/>
      <c r="C413" s="78"/>
      <c r="D413" s="78"/>
      <c r="E413" s="78"/>
      <c r="F413" s="78"/>
      <c r="G413" s="78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</row>
    <row r="414" spans="1:26" ht="12.75" customHeight="1" x14ac:dyDescent="0.2">
      <c r="A414" s="78"/>
      <c r="B414" s="78"/>
      <c r="C414" s="78"/>
      <c r="D414" s="78"/>
      <c r="E414" s="78"/>
      <c r="F414" s="78"/>
      <c r="G414" s="78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  <c r="Z414" s="78"/>
    </row>
    <row r="415" spans="1:26" ht="12.75" customHeight="1" x14ac:dyDescent="0.2">
      <c r="A415" s="78"/>
      <c r="B415" s="78"/>
      <c r="C415" s="78"/>
      <c r="D415" s="78"/>
      <c r="E415" s="78"/>
      <c r="F415" s="78"/>
      <c r="G415" s="78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  <c r="Z415" s="78"/>
    </row>
    <row r="416" spans="1:26" ht="12.75" customHeight="1" x14ac:dyDescent="0.2">
      <c r="A416" s="78"/>
      <c r="B416" s="78"/>
      <c r="C416" s="78"/>
      <c r="D416" s="78"/>
      <c r="E416" s="78"/>
      <c r="F416" s="78"/>
      <c r="G416" s="78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  <c r="Z416" s="78"/>
    </row>
    <row r="417" spans="1:26" ht="12.75" customHeight="1" x14ac:dyDescent="0.2">
      <c r="A417" s="78"/>
      <c r="B417" s="78"/>
      <c r="C417" s="78"/>
      <c r="D417" s="78"/>
      <c r="E417" s="78"/>
      <c r="F417" s="78"/>
      <c r="G417" s="78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  <c r="Z417" s="78"/>
    </row>
    <row r="418" spans="1:26" ht="12.75" customHeight="1" x14ac:dyDescent="0.2">
      <c r="A418" s="78"/>
      <c r="B418" s="78"/>
      <c r="C418" s="78"/>
      <c r="D418" s="78"/>
      <c r="E418" s="78"/>
      <c r="F418" s="78"/>
      <c r="G418" s="78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  <c r="Z418" s="78"/>
    </row>
    <row r="419" spans="1:26" ht="12.75" customHeight="1" x14ac:dyDescent="0.2">
      <c r="A419" s="78"/>
      <c r="B419" s="78"/>
      <c r="C419" s="78"/>
      <c r="D419" s="78"/>
      <c r="E419" s="78"/>
      <c r="F419" s="78"/>
      <c r="G419" s="78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  <c r="Z419" s="78"/>
    </row>
    <row r="420" spans="1:26" ht="12.75" customHeight="1" x14ac:dyDescent="0.2">
      <c r="A420" s="78"/>
      <c r="B420" s="78"/>
      <c r="C420" s="78"/>
      <c r="D420" s="78"/>
      <c r="E420" s="78"/>
      <c r="F420" s="78"/>
      <c r="G420" s="78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  <c r="Z420" s="78"/>
    </row>
    <row r="421" spans="1:26" ht="12.75" customHeight="1" x14ac:dyDescent="0.2">
      <c r="A421" s="78"/>
      <c r="B421" s="78"/>
      <c r="C421" s="78"/>
      <c r="D421" s="78"/>
      <c r="E421" s="78"/>
      <c r="F421" s="78"/>
      <c r="G421" s="78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  <c r="Z421" s="78"/>
    </row>
    <row r="422" spans="1:26" ht="12.75" customHeight="1" x14ac:dyDescent="0.2">
      <c r="A422" s="78"/>
      <c r="B422" s="78"/>
      <c r="C422" s="78"/>
      <c r="D422" s="78"/>
      <c r="E422" s="78"/>
      <c r="F422" s="78"/>
      <c r="G422" s="78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  <c r="Z422" s="78"/>
    </row>
    <row r="423" spans="1:26" ht="12.75" customHeight="1" x14ac:dyDescent="0.2">
      <c r="A423" s="78"/>
      <c r="B423" s="78"/>
      <c r="C423" s="78"/>
      <c r="D423" s="78"/>
      <c r="E423" s="78"/>
      <c r="F423" s="78"/>
      <c r="G423" s="78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  <c r="Z423" s="78"/>
    </row>
    <row r="424" spans="1:26" ht="12.75" customHeight="1" x14ac:dyDescent="0.2">
      <c r="A424" s="78"/>
      <c r="B424" s="78"/>
      <c r="C424" s="78"/>
      <c r="D424" s="78"/>
      <c r="E424" s="78"/>
      <c r="F424" s="78"/>
      <c r="G424" s="78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  <c r="Z424" s="78"/>
    </row>
    <row r="425" spans="1:26" ht="12.75" customHeight="1" x14ac:dyDescent="0.2">
      <c r="A425" s="78"/>
      <c r="B425" s="78"/>
      <c r="C425" s="78"/>
      <c r="D425" s="78"/>
      <c r="E425" s="78"/>
      <c r="F425" s="78"/>
      <c r="G425" s="78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  <c r="Z425" s="78"/>
    </row>
    <row r="426" spans="1:26" ht="12.75" customHeight="1" x14ac:dyDescent="0.2">
      <c r="A426" s="78"/>
      <c r="B426" s="78"/>
      <c r="C426" s="78"/>
      <c r="D426" s="78"/>
      <c r="E426" s="78"/>
      <c r="F426" s="78"/>
      <c r="G426" s="78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  <c r="Z426" s="78"/>
    </row>
    <row r="427" spans="1:26" ht="12.75" customHeight="1" x14ac:dyDescent="0.2">
      <c r="A427" s="78"/>
      <c r="B427" s="78"/>
      <c r="C427" s="78"/>
      <c r="D427" s="78"/>
      <c r="E427" s="78"/>
      <c r="F427" s="78"/>
      <c r="G427" s="78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</row>
    <row r="428" spans="1:26" ht="12.75" customHeight="1" x14ac:dyDescent="0.2">
      <c r="A428" s="78"/>
      <c r="B428" s="78"/>
      <c r="C428" s="78"/>
      <c r="D428" s="78"/>
      <c r="E428" s="78"/>
      <c r="F428" s="78"/>
      <c r="G428" s="78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  <c r="Z428" s="78"/>
    </row>
    <row r="429" spans="1:26" ht="12.75" customHeight="1" x14ac:dyDescent="0.2">
      <c r="A429" s="78"/>
      <c r="B429" s="78"/>
      <c r="C429" s="78"/>
      <c r="D429" s="78"/>
      <c r="E429" s="78"/>
      <c r="F429" s="78"/>
      <c r="G429" s="78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</row>
    <row r="430" spans="1:26" ht="12.75" customHeight="1" x14ac:dyDescent="0.2">
      <c r="A430" s="78"/>
      <c r="B430" s="78"/>
      <c r="C430" s="78"/>
      <c r="D430" s="78"/>
      <c r="E430" s="78"/>
      <c r="F430" s="78"/>
      <c r="G430" s="78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  <c r="Z430" s="78"/>
    </row>
    <row r="431" spans="1:26" ht="12.75" customHeight="1" x14ac:dyDescent="0.2">
      <c r="A431" s="78"/>
      <c r="B431" s="78"/>
      <c r="C431" s="78"/>
      <c r="D431" s="78"/>
      <c r="E431" s="78"/>
      <c r="F431" s="78"/>
      <c r="G431" s="78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  <c r="Z431" s="78"/>
    </row>
    <row r="432" spans="1:26" ht="12.75" customHeight="1" x14ac:dyDescent="0.2">
      <c r="A432" s="78"/>
      <c r="B432" s="78"/>
      <c r="C432" s="78"/>
      <c r="D432" s="78"/>
      <c r="E432" s="78"/>
      <c r="F432" s="78"/>
      <c r="G432" s="78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</row>
    <row r="433" spans="1:26" ht="12.75" customHeight="1" x14ac:dyDescent="0.2">
      <c r="A433" s="78"/>
      <c r="B433" s="78"/>
      <c r="C433" s="78"/>
      <c r="D433" s="78"/>
      <c r="E433" s="78"/>
      <c r="F433" s="78"/>
      <c r="G433" s="78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  <c r="Z433" s="78"/>
    </row>
    <row r="434" spans="1:26" ht="12.75" customHeight="1" x14ac:dyDescent="0.2">
      <c r="A434" s="78"/>
      <c r="B434" s="78"/>
      <c r="C434" s="78"/>
      <c r="D434" s="78"/>
      <c r="E434" s="78"/>
      <c r="F434" s="78"/>
      <c r="G434" s="78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  <c r="Z434" s="78"/>
    </row>
    <row r="435" spans="1:26" ht="12.75" customHeight="1" x14ac:dyDescent="0.2">
      <c r="A435" s="78"/>
      <c r="B435" s="78"/>
      <c r="C435" s="78"/>
      <c r="D435" s="78"/>
      <c r="E435" s="78"/>
      <c r="F435" s="78"/>
      <c r="G435" s="78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  <c r="Z435" s="78"/>
    </row>
    <row r="436" spans="1:26" ht="12.75" customHeight="1" x14ac:dyDescent="0.2">
      <c r="A436" s="78"/>
      <c r="B436" s="78"/>
      <c r="C436" s="78"/>
      <c r="D436" s="78"/>
      <c r="E436" s="78"/>
      <c r="F436" s="78"/>
      <c r="G436" s="78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  <c r="Z436" s="78"/>
    </row>
    <row r="437" spans="1:26" ht="12.75" customHeight="1" x14ac:dyDescent="0.2">
      <c r="A437" s="78"/>
      <c r="B437" s="78"/>
      <c r="C437" s="78"/>
      <c r="D437" s="78"/>
      <c r="E437" s="78"/>
      <c r="F437" s="78"/>
      <c r="G437" s="78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  <c r="Z437" s="78"/>
    </row>
    <row r="438" spans="1:26" ht="12.75" customHeight="1" x14ac:dyDescent="0.2">
      <c r="A438" s="78"/>
      <c r="B438" s="78"/>
      <c r="C438" s="78"/>
      <c r="D438" s="78"/>
      <c r="E438" s="78"/>
      <c r="F438" s="78"/>
      <c r="G438" s="78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  <c r="Z438" s="78"/>
    </row>
    <row r="439" spans="1:26" ht="12.75" customHeight="1" x14ac:dyDescent="0.2">
      <c r="A439" s="78"/>
      <c r="B439" s="78"/>
      <c r="C439" s="78"/>
      <c r="D439" s="78"/>
      <c r="E439" s="78"/>
      <c r="F439" s="78"/>
      <c r="G439" s="78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  <c r="Z439" s="78"/>
    </row>
    <row r="440" spans="1:26" ht="12.75" customHeight="1" x14ac:dyDescent="0.2">
      <c r="A440" s="78"/>
      <c r="B440" s="78"/>
      <c r="C440" s="78"/>
      <c r="D440" s="78"/>
      <c r="E440" s="78"/>
      <c r="F440" s="78"/>
      <c r="G440" s="78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</row>
    <row r="441" spans="1:26" ht="12.75" customHeight="1" x14ac:dyDescent="0.2">
      <c r="A441" s="78"/>
      <c r="B441" s="78"/>
      <c r="C441" s="78"/>
      <c r="D441" s="78"/>
      <c r="E441" s="78"/>
      <c r="F441" s="78"/>
      <c r="G441" s="78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  <c r="Z441" s="78"/>
    </row>
    <row r="442" spans="1:26" ht="12.75" customHeight="1" x14ac:dyDescent="0.2">
      <c r="A442" s="78"/>
      <c r="B442" s="78"/>
      <c r="C442" s="78"/>
      <c r="D442" s="78"/>
      <c r="E442" s="78"/>
      <c r="F442" s="78"/>
      <c r="G442" s="78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  <c r="Z442" s="78"/>
    </row>
    <row r="443" spans="1:26" ht="12.75" customHeight="1" x14ac:dyDescent="0.2">
      <c r="A443" s="78"/>
      <c r="B443" s="78"/>
      <c r="C443" s="78"/>
      <c r="D443" s="78"/>
      <c r="E443" s="78"/>
      <c r="F443" s="78"/>
      <c r="G443" s="78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</row>
    <row r="444" spans="1:26" ht="12.75" customHeight="1" x14ac:dyDescent="0.2">
      <c r="A444" s="78"/>
      <c r="B444" s="78"/>
      <c r="C444" s="78"/>
      <c r="D444" s="78"/>
      <c r="E444" s="78"/>
      <c r="F444" s="78"/>
      <c r="G444" s="78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  <c r="Z444" s="78"/>
    </row>
    <row r="445" spans="1:26" ht="12.75" customHeight="1" x14ac:dyDescent="0.2">
      <c r="A445" s="78"/>
      <c r="B445" s="78"/>
      <c r="C445" s="78"/>
      <c r="D445" s="78"/>
      <c r="E445" s="78"/>
      <c r="F445" s="78"/>
      <c r="G445" s="78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  <c r="Z445" s="78"/>
    </row>
    <row r="446" spans="1:26" ht="12.75" customHeight="1" x14ac:dyDescent="0.2">
      <c r="A446" s="78"/>
      <c r="B446" s="78"/>
      <c r="C446" s="78"/>
      <c r="D446" s="78"/>
      <c r="E446" s="78"/>
      <c r="F446" s="78"/>
      <c r="G446" s="78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  <c r="Z446" s="78"/>
    </row>
    <row r="447" spans="1:26" ht="12.75" customHeight="1" x14ac:dyDescent="0.2">
      <c r="A447" s="78"/>
      <c r="B447" s="78"/>
      <c r="C447" s="78"/>
      <c r="D447" s="78"/>
      <c r="E447" s="78"/>
      <c r="F447" s="78"/>
      <c r="G447" s="78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  <c r="Z447" s="78"/>
    </row>
    <row r="448" spans="1:26" ht="12.75" customHeight="1" x14ac:dyDescent="0.2">
      <c r="A448" s="78"/>
      <c r="B448" s="78"/>
      <c r="C448" s="78"/>
      <c r="D448" s="78"/>
      <c r="E448" s="78"/>
      <c r="F448" s="78"/>
      <c r="G448" s="78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  <c r="Z448" s="78"/>
    </row>
    <row r="449" spans="1:26" ht="12.75" customHeight="1" x14ac:dyDescent="0.2">
      <c r="A449" s="78"/>
      <c r="B449" s="78"/>
      <c r="C449" s="78"/>
      <c r="D449" s="78"/>
      <c r="E449" s="78"/>
      <c r="F449" s="78"/>
      <c r="G449" s="78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  <c r="Z449" s="78"/>
    </row>
    <row r="450" spans="1:26" ht="12.75" customHeight="1" x14ac:dyDescent="0.2">
      <c r="A450" s="78"/>
      <c r="B450" s="78"/>
      <c r="C450" s="78"/>
      <c r="D450" s="78"/>
      <c r="E450" s="78"/>
      <c r="F450" s="78"/>
      <c r="G450" s="78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  <c r="Z450" s="78"/>
    </row>
    <row r="451" spans="1:26" ht="12.75" customHeight="1" x14ac:dyDescent="0.2">
      <c r="A451" s="78"/>
      <c r="B451" s="78"/>
      <c r="C451" s="78"/>
      <c r="D451" s="78"/>
      <c r="E451" s="78"/>
      <c r="F451" s="78"/>
      <c r="G451" s="78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  <c r="Z451" s="78"/>
    </row>
    <row r="452" spans="1:26" ht="12.75" customHeight="1" x14ac:dyDescent="0.2">
      <c r="A452" s="78"/>
      <c r="B452" s="78"/>
      <c r="C452" s="78"/>
      <c r="D452" s="78"/>
      <c r="E452" s="78"/>
      <c r="F452" s="78"/>
      <c r="G452" s="78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  <c r="Z452" s="78"/>
    </row>
    <row r="453" spans="1:26" ht="12.75" customHeight="1" x14ac:dyDescent="0.2">
      <c r="A453" s="78"/>
      <c r="B453" s="78"/>
      <c r="C453" s="78"/>
      <c r="D453" s="78"/>
      <c r="E453" s="78"/>
      <c r="F453" s="78"/>
      <c r="G453" s="78"/>
      <c r="H453" s="78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  <c r="Z453" s="78"/>
    </row>
    <row r="454" spans="1:26" ht="12.75" customHeight="1" x14ac:dyDescent="0.2">
      <c r="A454" s="78"/>
      <c r="B454" s="78"/>
      <c r="C454" s="78"/>
      <c r="D454" s="78"/>
      <c r="E454" s="78"/>
      <c r="F454" s="78"/>
      <c r="G454" s="78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  <c r="Z454" s="78"/>
    </row>
    <row r="455" spans="1:26" ht="12.75" customHeight="1" x14ac:dyDescent="0.2">
      <c r="A455" s="78"/>
      <c r="B455" s="78"/>
      <c r="C455" s="78"/>
      <c r="D455" s="78"/>
      <c r="E455" s="78"/>
      <c r="F455" s="78"/>
      <c r="G455" s="78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  <c r="Z455" s="78"/>
    </row>
    <row r="456" spans="1:26" ht="12.75" customHeight="1" x14ac:dyDescent="0.2">
      <c r="A456" s="78"/>
      <c r="B456" s="78"/>
      <c r="C456" s="78"/>
      <c r="D456" s="78"/>
      <c r="E456" s="78"/>
      <c r="F456" s="78"/>
      <c r="G456" s="78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  <c r="Z456" s="78"/>
    </row>
    <row r="457" spans="1:26" ht="12.75" customHeight="1" x14ac:dyDescent="0.2">
      <c r="A457" s="78"/>
      <c r="B457" s="78"/>
      <c r="C457" s="78"/>
      <c r="D457" s="78"/>
      <c r="E457" s="78"/>
      <c r="F457" s="78"/>
      <c r="G457" s="78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  <c r="Z457" s="78"/>
    </row>
    <row r="458" spans="1:26" ht="12.75" customHeight="1" x14ac:dyDescent="0.2">
      <c r="A458" s="78"/>
      <c r="B458" s="78"/>
      <c r="C458" s="78"/>
      <c r="D458" s="78"/>
      <c r="E458" s="78"/>
      <c r="F458" s="78"/>
      <c r="G458" s="78"/>
      <c r="H458" s="78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  <c r="Z458" s="78"/>
    </row>
    <row r="459" spans="1:26" ht="12.75" customHeight="1" x14ac:dyDescent="0.2">
      <c r="A459" s="78"/>
      <c r="B459" s="78"/>
      <c r="C459" s="78"/>
      <c r="D459" s="78"/>
      <c r="E459" s="78"/>
      <c r="F459" s="78"/>
      <c r="G459" s="78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  <c r="Z459" s="78"/>
    </row>
    <row r="460" spans="1:26" ht="12.75" customHeight="1" x14ac:dyDescent="0.2">
      <c r="A460" s="78"/>
      <c r="B460" s="78"/>
      <c r="C460" s="78"/>
      <c r="D460" s="78"/>
      <c r="E460" s="78"/>
      <c r="F460" s="78"/>
      <c r="G460" s="78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  <c r="Z460" s="78"/>
    </row>
    <row r="461" spans="1:26" ht="12.75" customHeight="1" x14ac:dyDescent="0.2">
      <c r="A461" s="78"/>
      <c r="B461" s="78"/>
      <c r="C461" s="78"/>
      <c r="D461" s="78"/>
      <c r="E461" s="78"/>
      <c r="F461" s="78"/>
      <c r="G461" s="78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  <c r="Z461" s="78"/>
    </row>
    <row r="462" spans="1:26" ht="12.75" customHeight="1" x14ac:dyDescent="0.2">
      <c r="A462" s="78"/>
      <c r="B462" s="78"/>
      <c r="C462" s="78"/>
      <c r="D462" s="78"/>
      <c r="E462" s="78"/>
      <c r="F462" s="78"/>
      <c r="G462" s="78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  <c r="Z462" s="78"/>
    </row>
    <row r="463" spans="1:26" ht="12.75" customHeight="1" x14ac:dyDescent="0.2">
      <c r="A463" s="78"/>
      <c r="B463" s="78"/>
      <c r="C463" s="78"/>
      <c r="D463" s="78"/>
      <c r="E463" s="78"/>
      <c r="F463" s="78"/>
      <c r="G463" s="78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  <c r="Z463" s="78"/>
    </row>
    <row r="464" spans="1:26" ht="12.75" customHeight="1" x14ac:dyDescent="0.2">
      <c r="A464" s="78"/>
      <c r="B464" s="78"/>
      <c r="C464" s="78"/>
      <c r="D464" s="78"/>
      <c r="E464" s="78"/>
      <c r="F464" s="78"/>
      <c r="G464" s="78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  <c r="Z464" s="78"/>
    </row>
    <row r="465" spans="1:26" ht="12.75" customHeight="1" x14ac:dyDescent="0.2">
      <c r="A465" s="78"/>
      <c r="B465" s="78"/>
      <c r="C465" s="78"/>
      <c r="D465" s="78"/>
      <c r="E465" s="78"/>
      <c r="F465" s="78"/>
      <c r="G465" s="78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  <c r="Z465" s="78"/>
    </row>
    <row r="466" spans="1:26" ht="12.75" customHeight="1" x14ac:dyDescent="0.2">
      <c r="A466" s="78"/>
      <c r="B466" s="78"/>
      <c r="C466" s="78"/>
      <c r="D466" s="78"/>
      <c r="E466" s="78"/>
      <c r="F466" s="78"/>
      <c r="G466" s="78"/>
      <c r="H466" s="78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  <c r="Z466" s="78"/>
    </row>
    <row r="467" spans="1:26" ht="12.75" customHeight="1" x14ac:dyDescent="0.2">
      <c r="A467" s="78"/>
      <c r="B467" s="78"/>
      <c r="C467" s="78"/>
      <c r="D467" s="78"/>
      <c r="E467" s="78"/>
      <c r="F467" s="78"/>
      <c r="G467" s="78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  <c r="Z467" s="78"/>
    </row>
    <row r="468" spans="1:26" ht="12.75" customHeight="1" x14ac:dyDescent="0.2">
      <c r="A468" s="78"/>
      <c r="B468" s="78"/>
      <c r="C468" s="78"/>
      <c r="D468" s="78"/>
      <c r="E468" s="78"/>
      <c r="F468" s="78"/>
      <c r="G468" s="78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  <c r="Z468" s="78"/>
    </row>
    <row r="469" spans="1:26" ht="12.75" customHeight="1" x14ac:dyDescent="0.2">
      <c r="A469" s="78"/>
      <c r="B469" s="78"/>
      <c r="C469" s="78"/>
      <c r="D469" s="78"/>
      <c r="E469" s="78"/>
      <c r="F469" s="78"/>
      <c r="G469" s="78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  <c r="Z469" s="78"/>
    </row>
    <row r="470" spans="1:26" ht="12.75" customHeight="1" x14ac:dyDescent="0.2">
      <c r="A470" s="78"/>
      <c r="B470" s="78"/>
      <c r="C470" s="78"/>
      <c r="D470" s="78"/>
      <c r="E470" s="78"/>
      <c r="F470" s="78"/>
      <c r="G470" s="78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  <c r="Z470" s="78"/>
    </row>
    <row r="471" spans="1:26" ht="12.75" customHeight="1" x14ac:dyDescent="0.2">
      <c r="A471" s="78"/>
      <c r="B471" s="78"/>
      <c r="C471" s="78"/>
      <c r="D471" s="78"/>
      <c r="E471" s="78"/>
      <c r="F471" s="78"/>
      <c r="G471" s="78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  <c r="Z471" s="78"/>
    </row>
    <row r="472" spans="1:26" ht="12.75" customHeight="1" x14ac:dyDescent="0.2">
      <c r="A472" s="78"/>
      <c r="B472" s="78"/>
      <c r="C472" s="78"/>
      <c r="D472" s="78"/>
      <c r="E472" s="78"/>
      <c r="F472" s="78"/>
      <c r="G472" s="78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  <c r="Z472" s="78"/>
    </row>
    <row r="473" spans="1:26" ht="12.75" customHeight="1" x14ac:dyDescent="0.2">
      <c r="A473" s="78"/>
      <c r="B473" s="78"/>
      <c r="C473" s="78"/>
      <c r="D473" s="78"/>
      <c r="E473" s="78"/>
      <c r="F473" s="78"/>
      <c r="G473" s="78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  <c r="Z473" s="78"/>
    </row>
    <row r="474" spans="1:26" ht="12.75" customHeight="1" x14ac:dyDescent="0.2">
      <c r="A474" s="78"/>
      <c r="B474" s="78"/>
      <c r="C474" s="78"/>
      <c r="D474" s="78"/>
      <c r="E474" s="78"/>
      <c r="F474" s="78"/>
      <c r="G474" s="78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  <c r="Z474" s="78"/>
    </row>
    <row r="475" spans="1:26" ht="12.75" customHeight="1" x14ac:dyDescent="0.2">
      <c r="A475" s="78"/>
      <c r="B475" s="78"/>
      <c r="C475" s="78"/>
      <c r="D475" s="78"/>
      <c r="E475" s="78"/>
      <c r="F475" s="78"/>
      <c r="G475" s="78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  <c r="Z475" s="78"/>
    </row>
    <row r="476" spans="1:26" ht="12.75" customHeight="1" x14ac:dyDescent="0.2">
      <c r="A476" s="78"/>
      <c r="B476" s="78"/>
      <c r="C476" s="78"/>
      <c r="D476" s="78"/>
      <c r="E476" s="78"/>
      <c r="F476" s="78"/>
      <c r="G476" s="78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  <c r="Z476" s="78"/>
    </row>
    <row r="477" spans="1:26" ht="12.75" customHeight="1" x14ac:dyDescent="0.2">
      <c r="A477" s="78"/>
      <c r="B477" s="78"/>
      <c r="C477" s="78"/>
      <c r="D477" s="78"/>
      <c r="E477" s="78"/>
      <c r="F477" s="78"/>
      <c r="G477" s="78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  <c r="Z477" s="78"/>
    </row>
    <row r="478" spans="1:26" ht="12.75" customHeight="1" x14ac:dyDescent="0.2">
      <c r="A478" s="78"/>
      <c r="B478" s="78"/>
      <c r="C478" s="78"/>
      <c r="D478" s="78"/>
      <c r="E478" s="78"/>
      <c r="F478" s="78"/>
      <c r="G478" s="78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  <c r="Z478" s="78"/>
    </row>
    <row r="479" spans="1:26" ht="12.75" customHeight="1" x14ac:dyDescent="0.2">
      <c r="A479" s="78"/>
      <c r="B479" s="78"/>
      <c r="C479" s="78"/>
      <c r="D479" s="78"/>
      <c r="E479" s="78"/>
      <c r="F479" s="78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</row>
    <row r="480" spans="1:26" ht="12.75" customHeight="1" x14ac:dyDescent="0.2">
      <c r="A480" s="78"/>
      <c r="B480" s="78"/>
      <c r="C480" s="78"/>
      <c r="D480" s="78"/>
      <c r="E480" s="78"/>
      <c r="F480" s="78"/>
      <c r="G480" s="78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</row>
    <row r="481" spans="1:26" ht="12.75" customHeight="1" x14ac:dyDescent="0.2">
      <c r="A481" s="78"/>
      <c r="B481" s="78"/>
      <c r="C481" s="78"/>
      <c r="D481" s="78"/>
      <c r="E481" s="78"/>
      <c r="F481" s="78"/>
      <c r="G481" s="78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  <c r="Z481" s="78"/>
    </row>
    <row r="482" spans="1:26" ht="12.75" customHeight="1" x14ac:dyDescent="0.2">
      <c r="A482" s="78"/>
      <c r="B482" s="78"/>
      <c r="C482" s="78"/>
      <c r="D482" s="78"/>
      <c r="E482" s="78"/>
      <c r="F482" s="78"/>
      <c r="G482" s="78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  <c r="Z482" s="78"/>
    </row>
    <row r="483" spans="1:26" ht="12.75" customHeight="1" x14ac:dyDescent="0.2">
      <c r="A483" s="78"/>
      <c r="B483" s="78"/>
      <c r="C483" s="78"/>
      <c r="D483" s="78"/>
      <c r="E483" s="78"/>
      <c r="F483" s="78"/>
      <c r="G483" s="78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</row>
    <row r="484" spans="1:26" ht="12.75" customHeight="1" x14ac:dyDescent="0.2">
      <c r="A484" s="78"/>
      <c r="B484" s="78"/>
      <c r="C484" s="78"/>
      <c r="D484" s="78"/>
      <c r="E484" s="78"/>
      <c r="F484" s="78"/>
      <c r="G484" s="78"/>
      <c r="H484" s="78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  <c r="Z484" s="78"/>
    </row>
    <row r="485" spans="1:26" ht="12.75" customHeight="1" x14ac:dyDescent="0.2">
      <c r="A485" s="78"/>
      <c r="B485" s="78"/>
      <c r="C485" s="78"/>
      <c r="D485" s="78"/>
      <c r="E485" s="78"/>
      <c r="F485" s="78"/>
      <c r="G485" s="78"/>
      <c r="H485" s="78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  <c r="Z485" s="78"/>
    </row>
    <row r="486" spans="1:26" ht="12.75" customHeight="1" x14ac:dyDescent="0.2">
      <c r="A486" s="78"/>
      <c r="B486" s="78"/>
      <c r="C486" s="78"/>
      <c r="D486" s="78"/>
      <c r="E486" s="78"/>
      <c r="F486" s="78"/>
      <c r="G486" s="78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  <c r="Z486" s="78"/>
    </row>
    <row r="487" spans="1:26" ht="12.75" customHeight="1" x14ac:dyDescent="0.2">
      <c r="A487" s="78"/>
      <c r="B487" s="78"/>
      <c r="C487" s="78"/>
      <c r="D487" s="78"/>
      <c r="E487" s="78"/>
      <c r="F487" s="78"/>
      <c r="G487" s="78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  <c r="Z487" s="78"/>
    </row>
    <row r="488" spans="1:26" ht="12.75" customHeight="1" x14ac:dyDescent="0.2">
      <c r="A488" s="78"/>
      <c r="B488" s="78"/>
      <c r="C488" s="78"/>
      <c r="D488" s="78"/>
      <c r="E488" s="78"/>
      <c r="F488" s="78"/>
      <c r="G488" s="78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  <c r="Z488" s="78"/>
    </row>
    <row r="489" spans="1:26" ht="12.75" customHeight="1" x14ac:dyDescent="0.2">
      <c r="A489" s="78"/>
      <c r="B489" s="78"/>
      <c r="C489" s="78"/>
      <c r="D489" s="78"/>
      <c r="E489" s="78"/>
      <c r="F489" s="78"/>
      <c r="G489" s="78"/>
      <c r="H489" s="78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  <c r="Z489" s="78"/>
    </row>
    <row r="490" spans="1:26" ht="12.75" customHeight="1" x14ac:dyDescent="0.2">
      <c r="A490" s="78"/>
      <c r="B490" s="78"/>
      <c r="C490" s="78"/>
      <c r="D490" s="78"/>
      <c r="E490" s="78"/>
      <c r="F490" s="78"/>
      <c r="G490" s="78"/>
      <c r="H490" s="78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  <c r="Z490" s="78"/>
    </row>
    <row r="491" spans="1:26" ht="12.75" customHeight="1" x14ac:dyDescent="0.2">
      <c r="A491" s="78"/>
      <c r="B491" s="78"/>
      <c r="C491" s="78"/>
      <c r="D491" s="78"/>
      <c r="E491" s="78"/>
      <c r="F491" s="78"/>
      <c r="G491" s="78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  <c r="Z491" s="78"/>
    </row>
    <row r="492" spans="1:26" ht="12.75" customHeight="1" x14ac:dyDescent="0.2">
      <c r="A492" s="78"/>
      <c r="B492" s="78"/>
      <c r="C492" s="78"/>
      <c r="D492" s="78"/>
      <c r="E492" s="78"/>
      <c r="F492" s="78"/>
      <c r="G492" s="78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  <c r="Z492" s="78"/>
    </row>
    <row r="493" spans="1:26" ht="12.75" customHeight="1" x14ac:dyDescent="0.2">
      <c r="A493" s="78"/>
      <c r="B493" s="78"/>
      <c r="C493" s="78"/>
      <c r="D493" s="78"/>
      <c r="E493" s="78"/>
      <c r="F493" s="78"/>
      <c r="G493" s="78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  <c r="Z493" s="78"/>
    </row>
    <row r="494" spans="1:26" ht="12.75" customHeight="1" x14ac:dyDescent="0.2">
      <c r="A494" s="78"/>
      <c r="B494" s="78"/>
      <c r="C494" s="78"/>
      <c r="D494" s="78"/>
      <c r="E494" s="78"/>
      <c r="F494" s="78"/>
      <c r="G494" s="78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  <c r="Z494" s="78"/>
    </row>
    <row r="495" spans="1:26" ht="12.75" customHeight="1" x14ac:dyDescent="0.2">
      <c r="A495" s="78"/>
      <c r="B495" s="78"/>
      <c r="C495" s="78"/>
      <c r="D495" s="78"/>
      <c r="E495" s="78"/>
      <c r="F495" s="78"/>
      <c r="G495" s="78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  <c r="Z495" s="78"/>
    </row>
    <row r="496" spans="1:26" ht="12.75" customHeight="1" x14ac:dyDescent="0.2">
      <c r="A496" s="78"/>
      <c r="B496" s="78"/>
      <c r="C496" s="78"/>
      <c r="D496" s="78"/>
      <c r="E496" s="78"/>
      <c r="F496" s="78"/>
      <c r="G496" s="78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  <c r="Z496" s="78"/>
    </row>
    <row r="497" spans="1:26" ht="12.75" customHeight="1" x14ac:dyDescent="0.2">
      <c r="A497" s="78"/>
      <c r="B497" s="78"/>
      <c r="C497" s="78"/>
      <c r="D497" s="78"/>
      <c r="E497" s="78"/>
      <c r="F497" s="78"/>
      <c r="G497" s="78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  <c r="Z497" s="78"/>
    </row>
    <row r="498" spans="1:26" ht="12.75" customHeight="1" x14ac:dyDescent="0.2">
      <c r="A498" s="78"/>
      <c r="B498" s="78"/>
      <c r="C498" s="78"/>
      <c r="D498" s="78"/>
      <c r="E498" s="78"/>
      <c r="F498" s="78"/>
      <c r="G498" s="78"/>
      <c r="H498" s="78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  <c r="Z498" s="78"/>
    </row>
    <row r="499" spans="1:26" ht="12.75" customHeight="1" x14ac:dyDescent="0.2">
      <c r="A499" s="78"/>
      <c r="B499" s="78"/>
      <c r="C499" s="78"/>
      <c r="D499" s="78"/>
      <c r="E499" s="78"/>
      <c r="F499" s="78"/>
      <c r="G499" s="78"/>
      <c r="H499" s="78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  <c r="Z499" s="78"/>
    </row>
    <row r="500" spans="1:26" ht="12.75" customHeight="1" x14ac:dyDescent="0.2">
      <c r="A500" s="78"/>
      <c r="B500" s="78"/>
      <c r="C500" s="78"/>
      <c r="D500" s="78"/>
      <c r="E500" s="78"/>
      <c r="F500" s="78"/>
      <c r="G500" s="78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  <c r="Z500" s="78"/>
    </row>
    <row r="501" spans="1:26" ht="12.75" customHeight="1" x14ac:dyDescent="0.2">
      <c r="A501" s="78"/>
      <c r="B501" s="78"/>
      <c r="C501" s="78"/>
      <c r="D501" s="78"/>
      <c r="E501" s="78"/>
      <c r="F501" s="78"/>
      <c r="G501" s="78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  <c r="Z501" s="78"/>
    </row>
    <row r="502" spans="1:26" ht="12.75" customHeight="1" x14ac:dyDescent="0.2">
      <c r="A502" s="78"/>
      <c r="B502" s="78"/>
      <c r="C502" s="78"/>
      <c r="D502" s="78"/>
      <c r="E502" s="78"/>
      <c r="F502" s="78"/>
      <c r="G502" s="78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  <c r="Z502" s="78"/>
    </row>
    <row r="503" spans="1:26" ht="12.75" customHeight="1" x14ac:dyDescent="0.2">
      <c r="A503" s="78"/>
      <c r="B503" s="78"/>
      <c r="C503" s="78"/>
      <c r="D503" s="78"/>
      <c r="E503" s="78"/>
      <c r="F503" s="78"/>
      <c r="G503" s="78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  <c r="Z503" s="78"/>
    </row>
    <row r="504" spans="1:26" ht="12.75" customHeight="1" x14ac:dyDescent="0.2">
      <c r="A504" s="78"/>
      <c r="B504" s="78"/>
      <c r="C504" s="78"/>
      <c r="D504" s="78"/>
      <c r="E504" s="78"/>
      <c r="F504" s="78"/>
      <c r="G504" s="78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8"/>
      <c r="Z504" s="78"/>
    </row>
    <row r="505" spans="1:26" ht="12.75" customHeight="1" x14ac:dyDescent="0.2">
      <c r="A505" s="78"/>
      <c r="B505" s="78"/>
      <c r="C505" s="78"/>
      <c r="D505" s="78"/>
      <c r="E505" s="78"/>
      <c r="F505" s="78"/>
      <c r="G505" s="78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  <c r="Z505" s="78"/>
    </row>
    <row r="506" spans="1:26" ht="12.75" customHeight="1" x14ac:dyDescent="0.2">
      <c r="A506" s="78"/>
      <c r="B506" s="78"/>
      <c r="C506" s="78"/>
      <c r="D506" s="78"/>
      <c r="E506" s="78"/>
      <c r="F506" s="78"/>
      <c r="G506" s="78"/>
      <c r="H506" s="78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  <c r="Z506" s="78"/>
    </row>
    <row r="507" spans="1:26" ht="12.75" customHeight="1" x14ac:dyDescent="0.2">
      <c r="A507" s="78"/>
      <c r="B507" s="78"/>
      <c r="C507" s="78"/>
      <c r="D507" s="78"/>
      <c r="E507" s="78"/>
      <c r="F507" s="78"/>
      <c r="G507" s="78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  <c r="Z507" s="78"/>
    </row>
    <row r="508" spans="1:26" ht="12.75" customHeight="1" x14ac:dyDescent="0.2">
      <c r="A508" s="78"/>
      <c r="B508" s="78"/>
      <c r="C508" s="78"/>
      <c r="D508" s="78"/>
      <c r="E508" s="78"/>
      <c r="F508" s="78"/>
      <c r="G508" s="78"/>
      <c r="H508" s="78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  <c r="Z508" s="78"/>
    </row>
    <row r="509" spans="1:26" ht="12.75" customHeight="1" x14ac:dyDescent="0.2">
      <c r="A509" s="78"/>
      <c r="B509" s="78"/>
      <c r="C509" s="78"/>
      <c r="D509" s="78"/>
      <c r="E509" s="78"/>
      <c r="F509" s="78"/>
      <c r="G509" s="78"/>
      <c r="H509" s="78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  <c r="Z509" s="78"/>
    </row>
    <row r="510" spans="1:26" ht="12.75" customHeight="1" x14ac:dyDescent="0.2">
      <c r="A510" s="78"/>
      <c r="B510" s="78"/>
      <c r="C510" s="78"/>
      <c r="D510" s="78"/>
      <c r="E510" s="78"/>
      <c r="F510" s="78"/>
      <c r="G510" s="78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  <c r="Z510" s="78"/>
    </row>
    <row r="511" spans="1:26" ht="12.75" customHeight="1" x14ac:dyDescent="0.2">
      <c r="A511" s="78"/>
      <c r="B511" s="78"/>
      <c r="C511" s="78"/>
      <c r="D511" s="78"/>
      <c r="E511" s="78"/>
      <c r="F511" s="78"/>
      <c r="G511" s="78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  <c r="Z511" s="78"/>
    </row>
    <row r="512" spans="1:26" ht="12.75" customHeight="1" x14ac:dyDescent="0.2">
      <c r="A512" s="78"/>
      <c r="B512" s="78"/>
      <c r="C512" s="78"/>
      <c r="D512" s="78"/>
      <c r="E512" s="78"/>
      <c r="F512" s="78"/>
      <c r="G512" s="78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  <c r="Z512" s="78"/>
    </row>
    <row r="513" spans="1:26" ht="12.75" customHeight="1" x14ac:dyDescent="0.2">
      <c r="A513" s="78"/>
      <c r="B513" s="78"/>
      <c r="C513" s="78"/>
      <c r="D513" s="78"/>
      <c r="E513" s="78"/>
      <c r="F513" s="78"/>
      <c r="G513" s="78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  <c r="Z513" s="78"/>
    </row>
    <row r="514" spans="1:26" ht="12.75" customHeight="1" x14ac:dyDescent="0.2">
      <c r="A514" s="78"/>
      <c r="B514" s="78"/>
      <c r="C514" s="78"/>
      <c r="D514" s="78"/>
      <c r="E514" s="78"/>
      <c r="F514" s="78"/>
      <c r="G514" s="78"/>
      <c r="H514" s="78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  <c r="Z514" s="78"/>
    </row>
    <row r="515" spans="1:26" ht="12.75" customHeight="1" x14ac:dyDescent="0.2">
      <c r="A515" s="78"/>
      <c r="B515" s="78"/>
      <c r="C515" s="78"/>
      <c r="D515" s="78"/>
      <c r="E515" s="78"/>
      <c r="F515" s="78"/>
      <c r="G515" s="78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  <c r="Z515" s="78"/>
    </row>
    <row r="516" spans="1:26" ht="12.75" customHeight="1" x14ac:dyDescent="0.2">
      <c r="A516" s="78"/>
      <c r="B516" s="78"/>
      <c r="C516" s="78"/>
      <c r="D516" s="78"/>
      <c r="E516" s="78"/>
      <c r="F516" s="78"/>
      <c r="G516" s="78"/>
      <c r="H516" s="78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  <c r="Z516" s="78"/>
    </row>
    <row r="517" spans="1:26" ht="12.75" customHeight="1" x14ac:dyDescent="0.2">
      <c r="A517" s="78"/>
      <c r="B517" s="78"/>
      <c r="C517" s="78"/>
      <c r="D517" s="78"/>
      <c r="E517" s="78"/>
      <c r="F517" s="78"/>
      <c r="G517" s="78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  <c r="Z517" s="78"/>
    </row>
    <row r="518" spans="1:26" ht="12.75" customHeight="1" x14ac:dyDescent="0.2">
      <c r="A518" s="78"/>
      <c r="B518" s="78"/>
      <c r="C518" s="78"/>
      <c r="D518" s="78"/>
      <c r="E518" s="78"/>
      <c r="F518" s="78"/>
      <c r="G518" s="78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  <c r="Z518" s="78"/>
    </row>
    <row r="519" spans="1:26" ht="12.75" customHeight="1" x14ac:dyDescent="0.2">
      <c r="A519" s="78"/>
      <c r="B519" s="78"/>
      <c r="C519" s="78"/>
      <c r="D519" s="78"/>
      <c r="E519" s="78"/>
      <c r="F519" s="78"/>
      <c r="G519" s="78"/>
      <c r="H519" s="78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  <c r="Z519" s="78"/>
    </row>
    <row r="520" spans="1:26" ht="12.75" customHeight="1" x14ac:dyDescent="0.2">
      <c r="A520" s="78"/>
      <c r="B520" s="78"/>
      <c r="C520" s="78"/>
      <c r="D520" s="78"/>
      <c r="E520" s="78"/>
      <c r="F520" s="78"/>
      <c r="G520" s="78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  <c r="Z520" s="78"/>
    </row>
    <row r="521" spans="1:26" ht="12.75" customHeight="1" x14ac:dyDescent="0.2">
      <c r="A521" s="78"/>
      <c r="B521" s="78"/>
      <c r="C521" s="78"/>
      <c r="D521" s="78"/>
      <c r="E521" s="78"/>
      <c r="F521" s="78"/>
      <c r="G521" s="78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  <c r="Z521" s="78"/>
    </row>
    <row r="522" spans="1:26" ht="12.75" customHeight="1" x14ac:dyDescent="0.2">
      <c r="A522" s="78"/>
      <c r="B522" s="78"/>
      <c r="C522" s="78"/>
      <c r="D522" s="78"/>
      <c r="E522" s="78"/>
      <c r="F522" s="78"/>
      <c r="G522" s="78"/>
      <c r="H522" s="78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  <c r="Z522" s="78"/>
    </row>
    <row r="523" spans="1:26" ht="12.75" customHeight="1" x14ac:dyDescent="0.2">
      <c r="A523" s="78"/>
      <c r="B523" s="78"/>
      <c r="C523" s="78"/>
      <c r="D523" s="78"/>
      <c r="E523" s="78"/>
      <c r="F523" s="78"/>
      <c r="G523" s="78"/>
      <c r="H523" s="78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</row>
    <row r="524" spans="1:26" ht="12.75" customHeight="1" x14ac:dyDescent="0.2">
      <c r="A524" s="78"/>
      <c r="B524" s="78"/>
      <c r="C524" s="78"/>
      <c r="D524" s="78"/>
      <c r="E524" s="78"/>
      <c r="F524" s="78"/>
      <c r="G524" s="78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  <c r="Z524" s="78"/>
    </row>
    <row r="525" spans="1:26" ht="12.75" customHeight="1" x14ac:dyDescent="0.2">
      <c r="A525" s="78"/>
      <c r="B525" s="78"/>
      <c r="C525" s="78"/>
      <c r="D525" s="78"/>
      <c r="E525" s="78"/>
      <c r="F525" s="78"/>
      <c r="G525" s="78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  <c r="Z525" s="78"/>
    </row>
    <row r="526" spans="1:26" ht="12.75" customHeight="1" x14ac:dyDescent="0.2">
      <c r="A526" s="78"/>
      <c r="B526" s="78"/>
      <c r="C526" s="78"/>
      <c r="D526" s="78"/>
      <c r="E526" s="78"/>
      <c r="F526" s="78"/>
      <c r="G526" s="78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  <c r="Z526" s="78"/>
    </row>
    <row r="527" spans="1:26" ht="12.75" customHeight="1" x14ac:dyDescent="0.2">
      <c r="A527" s="78"/>
      <c r="B527" s="78"/>
      <c r="C527" s="78"/>
      <c r="D527" s="78"/>
      <c r="E527" s="78"/>
      <c r="F527" s="78"/>
      <c r="G527" s="78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8"/>
      <c r="Z527" s="78"/>
    </row>
    <row r="528" spans="1:26" ht="12.75" customHeight="1" x14ac:dyDescent="0.2">
      <c r="A528" s="78"/>
      <c r="B528" s="78"/>
      <c r="C528" s="78"/>
      <c r="D528" s="78"/>
      <c r="E528" s="78"/>
      <c r="F528" s="78"/>
      <c r="G528" s="78"/>
      <c r="H528" s="78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  <c r="Z528" s="78"/>
    </row>
    <row r="529" spans="1:26" ht="12.75" customHeight="1" x14ac:dyDescent="0.2">
      <c r="A529" s="78"/>
      <c r="B529" s="78"/>
      <c r="C529" s="78"/>
      <c r="D529" s="78"/>
      <c r="E529" s="78"/>
      <c r="F529" s="78"/>
      <c r="G529" s="78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  <c r="Z529" s="78"/>
    </row>
    <row r="530" spans="1:26" ht="12.75" customHeight="1" x14ac:dyDescent="0.2">
      <c r="A530" s="78"/>
      <c r="B530" s="78"/>
      <c r="C530" s="78"/>
      <c r="D530" s="78"/>
      <c r="E530" s="78"/>
      <c r="F530" s="78"/>
      <c r="G530" s="78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  <c r="Z530" s="78"/>
    </row>
    <row r="531" spans="1:26" ht="12.75" customHeight="1" x14ac:dyDescent="0.2">
      <c r="A531" s="78"/>
      <c r="B531" s="78"/>
      <c r="C531" s="78"/>
      <c r="D531" s="78"/>
      <c r="E531" s="78"/>
      <c r="F531" s="78"/>
      <c r="G531" s="78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  <c r="Z531" s="78"/>
    </row>
    <row r="532" spans="1:26" ht="12.75" customHeight="1" x14ac:dyDescent="0.2">
      <c r="A532" s="78"/>
      <c r="B532" s="78"/>
      <c r="C532" s="78"/>
      <c r="D532" s="78"/>
      <c r="E532" s="78"/>
      <c r="F532" s="78"/>
      <c r="G532" s="78"/>
      <c r="H532" s="78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  <c r="Z532" s="78"/>
    </row>
    <row r="533" spans="1:26" ht="12.75" customHeight="1" x14ac:dyDescent="0.2">
      <c r="A533" s="78"/>
      <c r="B533" s="78"/>
      <c r="C533" s="78"/>
      <c r="D533" s="78"/>
      <c r="E533" s="78"/>
      <c r="F533" s="78"/>
      <c r="G533" s="78"/>
      <c r="H533" s="78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  <c r="Z533" s="78"/>
    </row>
    <row r="534" spans="1:26" ht="12.75" customHeight="1" x14ac:dyDescent="0.2">
      <c r="A534" s="78"/>
      <c r="B534" s="78"/>
      <c r="C534" s="78"/>
      <c r="D534" s="78"/>
      <c r="E534" s="78"/>
      <c r="F534" s="78"/>
      <c r="G534" s="78"/>
      <c r="H534" s="78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  <c r="Z534" s="78"/>
    </row>
    <row r="535" spans="1:26" ht="12.75" customHeight="1" x14ac:dyDescent="0.2">
      <c r="A535" s="78"/>
      <c r="B535" s="78"/>
      <c r="C535" s="78"/>
      <c r="D535" s="78"/>
      <c r="E535" s="78"/>
      <c r="F535" s="78"/>
      <c r="G535" s="78"/>
      <c r="H535" s="78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  <c r="Z535" s="78"/>
    </row>
    <row r="536" spans="1:26" ht="12.75" customHeight="1" x14ac:dyDescent="0.2">
      <c r="A536" s="78"/>
      <c r="B536" s="78"/>
      <c r="C536" s="78"/>
      <c r="D536" s="78"/>
      <c r="E536" s="78"/>
      <c r="F536" s="78"/>
      <c r="G536" s="78"/>
      <c r="H536" s="78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  <c r="Z536" s="78"/>
    </row>
    <row r="537" spans="1:26" ht="12.75" customHeight="1" x14ac:dyDescent="0.2">
      <c r="A537" s="78"/>
      <c r="B537" s="78"/>
      <c r="C537" s="78"/>
      <c r="D537" s="78"/>
      <c r="E537" s="78"/>
      <c r="F537" s="78"/>
      <c r="G537" s="78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  <c r="Z537" s="78"/>
    </row>
    <row r="538" spans="1:26" ht="12.75" customHeight="1" x14ac:dyDescent="0.2">
      <c r="A538" s="78"/>
      <c r="B538" s="78"/>
      <c r="C538" s="78"/>
      <c r="D538" s="78"/>
      <c r="E538" s="78"/>
      <c r="F538" s="78"/>
      <c r="G538" s="78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  <c r="Z538" s="78"/>
    </row>
    <row r="539" spans="1:26" ht="12.75" customHeight="1" x14ac:dyDescent="0.2">
      <c r="A539" s="78"/>
      <c r="B539" s="78"/>
      <c r="C539" s="78"/>
      <c r="D539" s="78"/>
      <c r="E539" s="78"/>
      <c r="F539" s="78"/>
      <c r="G539" s="78"/>
      <c r="H539" s="78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  <c r="Z539" s="78"/>
    </row>
    <row r="540" spans="1:26" ht="12.75" customHeight="1" x14ac:dyDescent="0.2">
      <c r="A540" s="78"/>
      <c r="B540" s="78"/>
      <c r="C540" s="78"/>
      <c r="D540" s="78"/>
      <c r="E540" s="78"/>
      <c r="F540" s="78"/>
      <c r="G540" s="78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  <c r="Z540" s="78"/>
    </row>
    <row r="541" spans="1:26" ht="12.75" customHeight="1" x14ac:dyDescent="0.2">
      <c r="A541" s="78"/>
      <c r="B541" s="78"/>
      <c r="C541" s="78"/>
      <c r="D541" s="78"/>
      <c r="E541" s="78"/>
      <c r="F541" s="78"/>
      <c r="G541" s="78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</row>
    <row r="542" spans="1:26" ht="12.75" customHeight="1" x14ac:dyDescent="0.2">
      <c r="A542" s="78"/>
      <c r="B542" s="78"/>
      <c r="C542" s="78"/>
      <c r="D542" s="78"/>
      <c r="E542" s="78"/>
      <c r="F542" s="78"/>
      <c r="G542" s="78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  <c r="Z542" s="78"/>
    </row>
    <row r="543" spans="1:26" ht="12.75" customHeight="1" x14ac:dyDescent="0.2">
      <c r="A543" s="78"/>
      <c r="B543" s="78"/>
      <c r="C543" s="78"/>
      <c r="D543" s="78"/>
      <c r="E543" s="78"/>
      <c r="F543" s="78"/>
      <c r="G543" s="78"/>
      <c r="H543" s="78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  <c r="Z543" s="78"/>
    </row>
    <row r="544" spans="1:26" ht="12.75" customHeight="1" x14ac:dyDescent="0.2">
      <c r="A544" s="78"/>
      <c r="B544" s="78"/>
      <c r="C544" s="78"/>
      <c r="D544" s="78"/>
      <c r="E544" s="78"/>
      <c r="F544" s="78"/>
      <c r="G544" s="78"/>
      <c r="H544" s="78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  <c r="Z544" s="78"/>
    </row>
    <row r="545" spans="1:26" ht="12.75" customHeight="1" x14ac:dyDescent="0.2">
      <c r="A545" s="78"/>
      <c r="B545" s="78"/>
      <c r="C545" s="78"/>
      <c r="D545" s="78"/>
      <c r="E545" s="78"/>
      <c r="F545" s="78"/>
      <c r="G545" s="78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8"/>
      <c r="Z545" s="78"/>
    </row>
    <row r="546" spans="1:26" ht="12.75" customHeight="1" x14ac:dyDescent="0.2">
      <c r="A546" s="78"/>
      <c r="B546" s="78"/>
      <c r="C546" s="78"/>
      <c r="D546" s="78"/>
      <c r="E546" s="78"/>
      <c r="F546" s="78"/>
      <c r="G546" s="78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  <c r="Z546" s="78"/>
    </row>
    <row r="547" spans="1:26" ht="12.75" customHeight="1" x14ac:dyDescent="0.2">
      <c r="A547" s="78"/>
      <c r="B547" s="78"/>
      <c r="C547" s="78"/>
      <c r="D547" s="78"/>
      <c r="E547" s="78"/>
      <c r="F547" s="78"/>
      <c r="G547" s="78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8"/>
      <c r="Z547" s="78"/>
    </row>
    <row r="548" spans="1:26" ht="12.75" customHeight="1" x14ac:dyDescent="0.2">
      <c r="A548" s="78"/>
      <c r="B548" s="78"/>
      <c r="C548" s="78"/>
      <c r="D548" s="78"/>
      <c r="E548" s="78"/>
      <c r="F548" s="78"/>
      <c r="G548" s="78"/>
      <c r="H548" s="78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  <c r="Z548" s="78"/>
    </row>
    <row r="549" spans="1:26" ht="12.75" customHeight="1" x14ac:dyDescent="0.2">
      <c r="A549" s="78"/>
      <c r="B549" s="78"/>
      <c r="C549" s="78"/>
      <c r="D549" s="78"/>
      <c r="E549" s="78"/>
      <c r="F549" s="78"/>
      <c r="G549" s="78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  <c r="Z549" s="78"/>
    </row>
    <row r="550" spans="1:26" ht="12.75" customHeight="1" x14ac:dyDescent="0.2">
      <c r="A550" s="78"/>
      <c r="B550" s="78"/>
      <c r="C550" s="78"/>
      <c r="D550" s="78"/>
      <c r="E550" s="78"/>
      <c r="F550" s="78"/>
      <c r="G550" s="78"/>
      <c r="H550" s="78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  <c r="Z550" s="78"/>
    </row>
    <row r="551" spans="1:26" ht="12.75" customHeight="1" x14ac:dyDescent="0.2">
      <c r="A551" s="78"/>
      <c r="B551" s="78"/>
      <c r="C551" s="78"/>
      <c r="D551" s="78"/>
      <c r="E551" s="78"/>
      <c r="F551" s="78"/>
      <c r="G551" s="78"/>
      <c r="H551" s="78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  <c r="Z551" s="78"/>
    </row>
    <row r="552" spans="1:26" ht="12.75" customHeight="1" x14ac:dyDescent="0.2">
      <c r="A552" s="78"/>
      <c r="B552" s="78"/>
      <c r="C552" s="78"/>
      <c r="D552" s="78"/>
      <c r="E552" s="78"/>
      <c r="F552" s="78"/>
      <c r="G552" s="78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  <c r="Z552" s="78"/>
    </row>
    <row r="553" spans="1:26" ht="12.75" customHeight="1" x14ac:dyDescent="0.2">
      <c r="A553" s="78"/>
      <c r="B553" s="78"/>
      <c r="C553" s="78"/>
      <c r="D553" s="78"/>
      <c r="E553" s="78"/>
      <c r="F553" s="78"/>
      <c r="G553" s="78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  <c r="Z553" s="78"/>
    </row>
    <row r="554" spans="1:26" ht="12.75" customHeight="1" x14ac:dyDescent="0.2">
      <c r="A554" s="78"/>
      <c r="B554" s="78"/>
      <c r="C554" s="78"/>
      <c r="D554" s="78"/>
      <c r="E554" s="78"/>
      <c r="F554" s="78"/>
      <c r="G554" s="78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  <c r="Z554" s="78"/>
    </row>
    <row r="555" spans="1:26" ht="12.75" customHeight="1" x14ac:dyDescent="0.2">
      <c r="A555" s="78"/>
      <c r="B555" s="78"/>
      <c r="C555" s="78"/>
      <c r="D555" s="78"/>
      <c r="E555" s="78"/>
      <c r="F555" s="78"/>
      <c r="G555" s="78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  <c r="Z555" s="78"/>
    </row>
    <row r="556" spans="1:26" ht="12.75" customHeight="1" x14ac:dyDescent="0.2">
      <c r="A556" s="78"/>
      <c r="B556" s="78"/>
      <c r="C556" s="78"/>
      <c r="D556" s="78"/>
      <c r="E556" s="78"/>
      <c r="F556" s="78"/>
      <c r="G556" s="78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  <c r="Z556" s="78"/>
    </row>
    <row r="557" spans="1:26" ht="12.75" customHeight="1" x14ac:dyDescent="0.2">
      <c r="A557" s="78"/>
      <c r="B557" s="78"/>
      <c r="C557" s="78"/>
      <c r="D557" s="78"/>
      <c r="E557" s="78"/>
      <c r="F557" s="78"/>
      <c r="G557" s="78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  <c r="Z557" s="78"/>
    </row>
    <row r="558" spans="1:26" ht="12.75" customHeight="1" x14ac:dyDescent="0.2">
      <c r="A558" s="78"/>
      <c r="B558" s="78"/>
      <c r="C558" s="78"/>
      <c r="D558" s="78"/>
      <c r="E558" s="78"/>
      <c r="F558" s="78"/>
      <c r="G558" s="78"/>
      <c r="H558" s="78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8"/>
      <c r="Z558" s="78"/>
    </row>
    <row r="559" spans="1:26" ht="12.75" customHeight="1" x14ac:dyDescent="0.2">
      <c r="A559" s="78"/>
      <c r="B559" s="78"/>
      <c r="C559" s="78"/>
      <c r="D559" s="78"/>
      <c r="E559" s="78"/>
      <c r="F559" s="78"/>
      <c r="G559" s="78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  <c r="Z559" s="78"/>
    </row>
    <row r="560" spans="1:26" ht="12.75" customHeight="1" x14ac:dyDescent="0.2">
      <c r="A560" s="78"/>
      <c r="B560" s="78"/>
      <c r="C560" s="78"/>
      <c r="D560" s="78"/>
      <c r="E560" s="78"/>
      <c r="F560" s="78"/>
      <c r="G560" s="78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8"/>
      <c r="Z560" s="78"/>
    </row>
    <row r="561" spans="1:26" ht="12.75" customHeight="1" x14ac:dyDescent="0.2">
      <c r="A561" s="78"/>
      <c r="B561" s="78"/>
      <c r="C561" s="78"/>
      <c r="D561" s="78"/>
      <c r="E561" s="78"/>
      <c r="F561" s="78"/>
      <c r="G561" s="78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  <c r="Z561" s="78"/>
    </row>
    <row r="562" spans="1:26" ht="12.75" customHeight="1" x14ac:dyDescent="0.2">
      <c r="A562" s="78"/>
      <c r="B562" s="78"/>
      <c r="C562" s="78"/>
      <c r="D562" s="78"/>
      <c r="E562" s="78"/>
      <c r="F562" s="78"/>
      <c r="G562" s="78"/>
      <c r="H562" s="78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  <c r="Z562" s="78"/>
    </row>
    <row r="563" spans="1:26" ht="12.75" customHeight="1" x14ac:dyDescent="0.2">
      <c r="A563" s="78"/>
      <c r="B563" s="78"/>
      <c r="C563" s="78"/>
      <c r="D563" s="78"/>
      <c r="E563" s="78"/>
      <c r="F563" s="78"/>
      <c r="G563" s="78"/>
      <c r="H563" s="78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</row>
    <row r="564" spans="1:26" ht="12.75" customHeight="1" x14ac:dyDescent="0.2">
      <c r="A564" s="78"/>
      <c r="B564" s="78"/>
      <c r="C564" s="78"/>
      <c r="D564" s="78"/>
      <c r="E564" s="78"/>
      <c r="F564" s="78"/>
      <c r="G564" s="78"/>
      <c r="H564" s="78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  <c r="Z564" s="78"/>
    </row>
    <row r="565" spans="1:26" ht="12.75" customHeight="1" x14ac:dyDescent="0.2">
      <c r="A565" s="78"/>
      <c r="B565" s="78"/>
      <c r="C565" s="78"/>
      <c r="D565" s="78"/>
      <c r="E565" s="78"/>
      <c r="F565" s="78"/>
      <c r="G565" s="78"/>
      <c r="H565" s="78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  <c r="Z565" s="78"/>
    </row>
    <row r="566" spans="1:26" ht="12.75" customHeight="1" x14ac:dyDescent="0.2">
      <c r="A566" s="78"/>
      <c r="B566" s="78"/>
      <c r="C566" s="78"/>
      <c r="D566" s="78"/>
      <c r="E566" s="78"/>
      <c r="F566" s="78"/>
      <c r="G566" s="78"/>
      <c r="H566" s="78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8"/>
      <c r="Z566" s="78"/>
    </row>
    <row r="567" spans="1:26" ht="12.75" customHeight="1" x14ac:dyDescent="0.2">
      <c r="A567" s="78"/>
      <c r="B567" s="78"/>
      <c r="C567" s="78"/>
      <c r="D567" s="78"/>
      <c r="E567" s="78"/>
      <c r="F567" s="78"/>
      <c r="G567" s="78"/>
      <c r="H567" s="78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8"/>
      <c r="Z567" s="78"/>
    </row>
    <row r="568" spans="1:26" ht="12.75" customHeight="1" x14ac:dyDescent="0.2">
      <c r="A568" s="78"/>
      <c r="B568" s="78"/>
      <c r="C568" s="78"/>
      <c r="D568" s="78"/>
      <c r="E568" s="78"/>
      <c r="F568" s="78"/>
      <c r="G568" s="78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8"/>
      <c r="Z568" s="78"/>
    </row>
    <row r="569" spans="1:26" ht="12.75" customHeight="1" x14ac:dyDescent="0.2">
      <c r="A569" s="78"/>
      <c r="B569" s="78"/>
      <c r="C569" s="78"/>
      <c r="D569" s="78"/>
      <c r="E569" s="78"/>
      <c r="F569" s="78"/>
      <c r="G569" s="78"/>
      <c r="H569" s="78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  <c r="Z569" s="78"/>
    </row>
    <row r="570" spans="1:26" ht="12.75" customHeight="1" x14ac:dyDescent="0.2">
      <c r="A570" s="78"/>
      <c r="B570" s="78"/>
      <c r="C570" s="78"/>
      <c r="D570" s="78"/>
      <c r="E570" s="78"/>
      <c r="F570" s="78"/>
      <c r="G570" s="78"/>
      <c r="H570" s="78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  <c r="Z570" s="78"/>
    </row>
    <row r="571" spans="1:26" ht="12.75" customHeight="1" x14ac:dyDescent="0.2">
      <c r="A571" s="78"/>
      <c r="B571" s="78"/>
      <c r="C571" s="78"/>
      <c r="D571" s="78"/>
      <c r="E571" s="78"/>
      <c r="F571" s="78"/>
      <c r="G571" s="78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  <c r="Z571" s="78"/>
    </row>
    <row r="572" spans="1:26" ht="12.75" customHeight="1" x14ac:dyDescent="0.2">
      <c r="A572" s="78"/>
      <c r="B572" s="78"/>
      <c r="C572" s="78"/>
      <c r="D572" s="78"/>
      <c r="E572" s="78"/>
      <c r="F572" s="78"/>
      <c r="G572" s="78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  <c r="Z572" s="78"/>
    </row>
    <row r="573" spans="1:26" ht="12.75" customHeight="1" x14ac:dyDescent="0.2">
      <c r="A573" s="78"/>
      <c r="B573" s="78"/>
      <c r="C573" s="78"/>
      <c r="D573" s="78"/>
      <c r="E573" s="78"/>
      <c r="F573" s="78"/>
      <c r="G573" s="78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  <c r="Z573" s="78"/>
    </row>
    <row r="574" spans="1:26" ht="12.75" customHeight="1" x14ac:dyDescent="0.2">
      <c r="A574" s="78"/>
      <c r="B574" s="78"/>
      <c r="C574" s="78"/>
      <c r="D574" s="78"/>
      <c r="E574" s="78"/>
      <c r="F574" s="78"/>
      <c r="G574" s="78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  <c r="Z574" s="78"/>
    </row>
    <row r="575" spans="1:26" ht="12.75" customHeight="1" x14ac:dyDescent="0.2">
      <c r="A575" s="78"/>
      <c r="B575" s="78"/>
      <c r="C575" s="78"/>
      <c r="D575" s="78"/>
      <c r="E575" s="78"/>
      <c r="F575" s="78"/>
      <c r="G575" s="78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  <c r="Z575" s="78"/>
    </row>
    <row r="576" spans="1:26" ht="12.75" customHeight="1" x14ac:dyDescent="0.2">
      <c r="A576" s="78"/>
      <c r="B576" s="78"/>
      <c r="C576" s="78"/>
      <c r="D576" s="78"/>
      <c r="E576" s="78"/>
      <c r="F576" s="78"/>
      <c r="G576" s="78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  <c r="Z576" s="78"/>
    </row>
    <row r="577" spans="1:26" ht="12.75" customHeight="1" x14ac:dyDescent="0.2">
      <c r="A577" s="78"/>
      <c r="B577" s="78"/>
      <c r="C577" s="78"/>
      <c r="D577" s="78"/>
      <c r="E577" s="78"/>
      <c r="F577" s="78"/>
      <c r="G577" s="78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  <c r="Z577" s="78"/>
    </row>
    <row r="578" spans="1:26" ht="12.75" customHeight="1" x14ac:dyDescent="0.2">
      <c r="A578" s="78"/>
      <c r="B578" s="78"/>
      <c r="C578" s="78"/>
      <c r="D578" s="78"/>
      <c r="E578" s="78"/>
      <c r="F578" s="78"/>
      <c r="G578" s="78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  <c r="Z578" s="78"/>
    </row>
    <row r="579" spans="1:26" ht="12.75" customHeight="1" x14ac:dyDescent="0.2">
      <c r="A579" s="78"/>
      <c r="B579" s="78"/>
      <c r="C579" s="78"/>
      <c r="D579" s="78"/>
      <c r="E579" s="78"/>
      <c r="F579" s="78"/>
      <c r="G579" s="78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  <c r="Z579" s="78"/>
    </row>
    <row r="580" spans="1:26" ht="12.75" customHeight="1" x14ac:dyDescent="0.2">
      <c r="A580" s="78"/>
      <c r="B580" s="78"/>
      <c r="C580" s="78"/>
      <c r="D580" s="78"/>
      <c r="E580" s="78"/>
      <c r="F580" s="78"/>
      <c r="G580" s="78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  <c r="Z580" s="78"/>
    </row>
    <row r="581" spans="1:26" ht="12.75" customHeight="1" x14ac:dyDescent="0.2">
      <c r="A581" s="78"/>
      <c r="B581" s="78"/>
      <c r="C581" s="78"/>
      <c r="D581" s="78"/>
      <c r="E581" s="78"/>
      <c r="F581" s="78"/>
      <c r="G581" s="78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  <c r="Z581" s="78"/>
    </row>
    <row r="582" spans="1:26" ht="12.75" customHeight="1" x14ac:dyDescent="0.2">
      <c r="A582" s="78"/>
      <c r="B582" s="78"/>
      <c r="C582" s="78"/>
      <c r="D582" s="78"/>
      <c r="E582" s="78"/>
      <c r="F582" s="78"/>
      <c r="G582" s="78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</row>
    <row r="583" spans="1:26" ht="12.75" customHeight="1" x14ac:dyDescent="0.2">
      <c r="A583" s="78"/>
      <c r="B583" s="78"/>
      <c r="C583" s="78"/>
      <c r="D583" s="78"/>
      <c r="E583" s="78"/>
      <c r="F583" s="78"/>
      <c r="G583" s="78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  <c r="Z583" s="78"/>
    </row>
    <row r="584" spans="1:26" ht="12.75" customHeight="1" x14ac:dyDescent="0.2">
      <c r="A584" s="78"/>
      <c r="B584" s="78"/>
      <c r="C584" s="78"/>
      <c r="D584" s="78"/>
      <c r="E584" s="78"/>
      <c r="F584" s="78"/>
      <c r="G584" s="78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  <c r="Z584" s="78"/>
    </row>
    <row r="585" spans="1:26" ht="12.75" customHeight="1" x14ac:dyDescent="0.2">
      <c r="A585" s="78"/>
      <c r="B585" s="78"/>
      <c r="C585" s="78"/>
      <c r="D585" s="78"/>
      <c r="E585" s="78"/>
      <c r="F585" s="78"/>
      <c r="G585" s="78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  <c r="Z585" s="78"/>
    </row>
    <row r="586" spans="1:26" ht="12.75" customHeight="1" x14ac:dyDescent="0.2">
      <c r="A586" s="78"/>
      <c r="B586" s="78"/>
      <c r="C586" s="78"/>
      <c r="D586" s="78"/>
      <c r="E586" s="78"/>
      <c r="F586" s="78"/>
      <c r="G586" s="78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  <c r="Z586" s="78"/>
    </row>
    <row r="587" spans="1:26" ht="12.75" customHeight="1" x14ac:dyDescent="0.2">
      <c r="A587" s="78"/>
      <c r="B587" s="78"/>
      <c r="C587" s="78"/>
      <c r="D587" s="78"/>
      <c r="E587" s="78"/>
      <c r="F587" s="78"/>
      <c r="G587" s="78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  <c r="Z587" s="78"/>
    </row>
    <row r="588" spans="1:26" ht="12.75" customHeight="1" x14ac:dyDescent="0.2">
      <c r="A588" s="78"/>
      <c r="B588" s="78"/>
      <c r="C588" s="78"/>
      <c r="D588" s="78"/>
      <c r="E588" s="78"/>
      <c r="F588" s="78"/>
      <c r="G588" s="78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  <c r="Z588" s="78"/>
    </row>
    <row r="589" spans="1:26" ht="12.75" customHeight="1" x14ac:dyDescent="0.2">
      <c r="A589" s="78"/>
      <c r="B589" s="78"/>
      <c r="C589" s="78"/>
      <c r="D589" s="78"/>
      <c r="E589" s="78"/>
      <c r="F589" s="78"/>
      <c r="G589" s="78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  <c r="Z589" s="78"/>
    </row>
    <row r="590" spans="1:26" ht="12.75" customHeight="1" x14ac:dyDescent="0.2">
      <c r="A590" s="78"/>
      <c r="B590" s="78"/>
      <c r="C590" s="78"/>
      <c r="D590" s="78"/>
      <c r="E590" s="78"/>
      <c r="F590" s="78"/>
      <c r="G590" s="78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  <c r="Z590" s="78"/>
    </row>
    <row r="591" spans="1:26" ht="12.75" customHeight="1" x14ac:dyDescent="0.2">
      <c r="A591" s="78"/>
      <c r="B591" s="78"/>
      <c r="C591" s="78"/>
      <c r="D591" s="78"/>
      <c r="E591" s="78"/>
      <c r="F591" s="78"/>
      <c r="G591" s="78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  <c r="Z591" s="78"/>
    </row>
    <row r="592" spans="1:26" ht="12.75" customHeight="1" x14ac:dyDescent="0.2">
      <c r="A592" s="78"/>
      <c r="B592" s="78"/>
      <c r="C592" s="78"/>
      <c r="D592" s="78"/>
      <c r="E592" s="78"/>
      <c r="F592" s="78"/>
      <c r="G592" s="78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  <c r="Z592" s="78"/>
    </row>
    <row r="593" spans="1:26" ht="12.75" customHeight="1" x14ac:dyDescent="0.2">
      <c r="A593" s="78"/>
      <c r="B593" s="78"/>
      <c r="C593" s="78"/>
      <c r="D593" s="78"/>
      <c r="E593" s="78"/>
      <c r="F593" s="78"/>
      <c r="G593" s="78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  <c r="Z593" s="78"/>
    </row>
    <row r="594" spans="1:26" ht="12.75" customHeight="1" x14ac:dyDescent="0.2">
      <c r="A594" s="78"/>
      <c r="B594" s="78"/>
      <c r="C594" s="78"/>
      <c r="D594" s="78"/>
      <c r="E594" s="78"/>
      <c r="F594" s="78"/>
      <c r="G594" s="78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</row>
    <row r="595" spans="1:26" ht="12.75" customHeight="1" x14ac:dyDescent="0.2">
      <c r="A595" s="78"/>
      <c r="B595" s="78"/>
      <c r="C595" s="78"/>
      <c r="D595" s="78"/>
      <c r="E595" s="78"/>
      <c r="F595" s="78"/>
      <c r="G595" s="78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</row>
    <row r="596" spans="1:26" ht="12.75" customHeight="1" x14ac:dyDescent="0.2">
      <c r="A596" s="78"/>
      <c r="B596" s="78"/>
      <c r="C596" s="78"/>
      <c r="D596" s="78"/>
      <c r="E596" s="78"/>
      <c r="F596" s="78"/>
      <c r="G596" s="78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  <c r="Z596" s="78"/>
    </row>
    <row r="597" spans="1:26" ht="12.75" customHeight="1" x14ac:dyDescent="0.2">
      <c r="A597" s="78"/>
      <c r="B597" s="78"/>
      <c r="C597" s="78"/>
      <c r="D597" s="78"/>
      <c r="E597" s="78"/>
      <c r="F597" s="78"/>
      <c r="G597" s="78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  <c r="Z597" s="78"/>
    </row>
    <row r="598" spans="1:26" ht="12.75" customHeight="1" x14ac:dyDescent="0.2">
      <c r="A598" s="78"/>
      <c r="B598" s="78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</row>
    <row r="599" spans="1:26" ht="12.75" customHeight="1" x14ac:dyDescent="0.2">
      <c r="A599" s="78"/>
      <c r="B599" s="78"/>
      <c r="C599" s="78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</row>
    <row r="600" spans="1:26" ht="12.75" customHeight="1" x14ac:dyDescent="0.2">
      <c r="A600" s="78"/>
      <c r="B600" s="78"/>
      <c r="C600" s="78"/>
      <c r="D600" s="78"/>
      <c r="E600" s="78"/>
      <c r="F600" s="78"/>
      <c r="G600" s="78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  <c r="Z600" s="78"/>
    </row>
    <row r="601" spans="1:26" ht="12.75" customHeight="1" x14ac:dyDescent="0.2">
      <c r="A601" s="78"/>
      <c r="B601" s="78"/>
      <c r="C601" s="78"/>
      <c r="D601" s="78"/>
      <c r="E601" s="78"/>
      <c r="F601" s="78"/>
      <c r="G601" s="78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  <c r="Z601" s="78"/>
    </row>
    <row r="602" spans="1:26" ht="12.75" customHeight="1" x14ac:dyDescent="0.2">
      <c r="A602" s="78"/>
      <c r="B602" s="78"/>
      <c r="C602" s="78"/>
      <c r="D602" s="78"/>
      <c r="E602" s="78"/>
      <c r="F602" s="78"/>
      <c r="G602" s="78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  <c r="Z602" s="78"/>
    </row>
    <row r="603" spans="1:26" ht="12.75" customHeight="1" x14ac:dyDescent="0.2">
      <c r="A603" s="78"/>
      <c r="B603" s="78"/>
      <c r="C603" s="78"/>
      <c r="D603" s="78"/>
      <c r="E603" s="78"/>
      <c r="F603" s="78"/>
      <c r="G603" s="78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</row>
    <row r="604" spans="1:26" ht="12.75" customHeight="1" x14ac:dyDescent="0.2">
      <c r="A604" s="78"/>
      <c r="B604" s="78"/>
      <c r="C604" s="78"/>
      <c r="D604" s="78"/>
      <c r="E604" s="78"/>
      <c r="F604" s="78"/>
      <c r="G604" s="78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  <c r="Z604" s="78"/>
    </row>
    <row r="605" spans="1:26" ht="12.75" customHeight="1" x14ac:dyDescent="0.2">
      <c r="A605" s="78"/>
      <c r="B605" s="78"/>
      <c r="C605" s="78"/>
      <c r="D605" s="78"/>
      <c r="E605" s="78"/>
      <c r="F605" s="78"/>
      <c r="G605" s="78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</row>
    <row r="606" spans="1:26" ht="12.75" customHeight="1" x14ac:dyDescent="0.2">
      <c r="A606" s="78"/>
      <c r="B606" s="78"/>
      <c r="C606" s="78"/>
      <c r="D606" s="78"/>
      <c r="E606" s="78"/>
      <c r="F606" s="78"/>
      <c r="G606" s="78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  <c r="Z606" s="78"/>
    </row>
    <row r="607" spans="1:26" ht="12.75" customHeight="1" x14ac:dyDescent="0.2">
      <c r="A607" s="78"/>
      <c r="B607" s="78"/>
      <c r="C607" s="78"/>
      <c r="D607" s="78"/>
      <c r="E607" s="78"/>
      <c r="F607" s="78"/>
      <c r="G607" s="78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  <c r="Z607" s="78"/>
    </row>
    <row r="608" spans="1:26" ht="12.75" customHeight="1" x14ac:dyDescent="0.2">
      <c r="A608" s="78"/>
      <c r="B608" s="78"/>
      <c r="C608" s="78"/>
      <c r="D608" s="78"/>
      <c r="E608" s="78"/>
      <c r="F608" s="78"/>
      <c r="G608" s="78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  <c r="Z608" s="78"/>
    </row>
    <row r="609" spans="1:26" ht="12.75" customHeight="1" x14ac:dyDescent="0.2">
      <c r="A609" s="78"/>
      <c r="B609" s="78"/>
      <c r="C609" s="78"/>
      <c r="D609" s="78"/>
      <c r="E609" s="78"/>
      <c r="F609" s="78"/>
      <c r="G609" s="78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  <c r="Z609" s="78"/>
    </row>
    <row r="610" spans="1:26" ht="12.75" customHeight="1" x14ac:dyDescent="0.2">
      <c r="A610" s="78"/>
      <c r="B610" s="78"/>
      <c r="C610" s="78"/>
      <c r="D610" s="78"/>
      <c r="E610" s="78"/>
      <c r="F610" s="78"/>
      <c r="G610" s="78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  <c r="Z610" s="78"/>
    </row>
    <row r="611" spans="1:26" ht="12.75" customHeight="1" x14ac:dyDescent="0.2">
      <c r="A611" s="78"/>
      <c r="B611" s="78"/>
      <c r="C611" s="78"/>
      <c r="D611" s="78"/>
      <c r="E611" s="78"/>
      <c r="F611" s="78"/>
      <c r="G611" s="78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  <c r="Z611" s="78"/>
    </row>
    <row r="612" spans="1:26" ht="12.75" customHeight="1" x14ac:dyDescent="0.2">
      <c r="A612" s="78"/>
      <c r="B612" s="78"/>
      <c r="C612" s="78"/>
      <c r="D612" s="78"/>
      <c r="E612" s="78"/>
      <c r="F612" s="78"/>
      <c r="G612" s="78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  <c r="Z612" s="78"/>
    </row>
    <row r="613" spans="1:26" ht="12.75" customHeight="1" x14ac:dyDescent="0.2">
      <c r="A613" s="78"/>
      <c r="B613" s="78"/>
      <c r="C613" s="78"/>
      <c r="D613" s="78"/>
      <c r="E613" s="78"/>
      <c r="F613" s="78"/>
      <c r="G613" s="78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  <c r="Z613" s="78"/>
    </row>
    <row r="614" spans="1:26" ht="12.75" customHeight="1" x14ac:dyDescent="0.2">
      <c r="A614" s="78"/>
      <c r="B614" s="78"/>
      <c r="C614" s="78"/>
      <c r="D614" s="78"/>
      <c r="E614" s="78"/>
      <c r="F614" s="78"/>
      <c r="G614" s="78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  <c r="Z614" s="78"/>
    </row>
    <row r="615" spans="1:26" ht="12.75" customHeight="1" x14ac:dyDescent="0.2">
      <c r="A615" s="78"/>
      <c r="B615" s="78"/>
      <c r="C615" s="78"/>
      <c r="D615" s="78"/>
      <c r="E615" s="78"/>
      <c r="F615" s="78"/>
      <c r="G615" s="78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  <c r="Z615" s="78"/>
    </row>
    <row r="616" spans="1:26" ht="12.75" customHeight="1" x14ac:dyDescent="0.2">
      <c r="A616" s="78"/>
      <c r="B616" s="78"/>
      <c r="C616" s="78"/>
      <c r="D616" s="78"/>
      <c r="E616" s="78"/>
      <c r="F616" s="78"/>
      <c r="G616" s="78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  <c r="Z616" s="78"/>
    </row>
    <row r="617" spans="1:26" ht="12.75" customHeight="1" x14ac:dyDescent="0.2">
      <c r="A617" s="78"/>
      <c r="B617" s="78"/>
      <c r="C617" s="78"/>
      <c r="D617" s="78"/>
      <c r="E617" s="78"/>
      <c r="F617" s="78"/>
      <c r="G617" s="78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  <c r="Z617" s="78"/>
    </row>
    <row r="618" spans="1:26" ht="12.75" customHeight="1" x14ac:dyDescent="0.2">
      <c r="A618" s="78"/>
      <c r="B618" s="78"/>
      <c r="C618" s="78"/>
      <c r="D618" s="78"/>
      <c r="E618" s="78"/>
      <c r="F618" s="78"/>
      <c r="G618" s="78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  <c r="Z618" s="78"/>
    </row>
    <row r="619" spans="1:26" ht="12.75" customHeight="1" x14ac:dyDescent="0.2">
      <c r="A619" s="78"/>
      <c r="B619" s="78"/>
      <c r="C619" s="78"/>
      <c r="D619" s="78"/>
      <c r="E619" s="78"/>
      <c r="F619" s="78"/>
      <c r="G619" s="78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  <c r="Z619" s="78"/>
    </row>
    <row r="620" spans="1:26" ht="12.75" customHeight="1" x14ac:dyDescent="0.2">
      <c r="A620" s="78"/>
      <c r="B620" s="78"/>
      <c r="C620" s="78"/>
      <c r="D620" s="78"/>
      <c r="E620" s="78"/>
      <c r="F620" s="78"/>
      <c r="G620" s="78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  <c r="Z620" s="78"/>
    </row>
    <row r="621" spans="1:26" ht="12.75" customHeight="1" x14ac:dyDescent="0.2">
      <c r="A621" s="78"/>
      <c r="B621" s="78"/>
      <c r="C621" s="78"/>
      <c r="D621" s="78"/>
      <c r="E621" s="78"/>
      <c r="F621" s="78"/>
      <c r="G621" s="78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  <c r="Z621" s="78"/>
    </row>
    <row r="622" spans="1:26" ht="12.75" customHeight="1" x14ac:dyDescent="0.2">
      <c r="A622" s="78"/>
      <c r="B622" s="78"/>
      <c r="C622" s="78"/>
      <c r="D622" s="78"/>
      <c r="E622" s="78"/>
      <c r="F622" s="78"/>
      <c r="G622" s="78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  <c r="Z622" s="78"/>
    </row>
    <row r="623" spans="1:26" ht="12.75" customHeight="1" x14ac:dyDescent="0.2">
      <c r="A623" s="78"/>
      <c r="B623" s="78"/>
      <c r="C623" s="78"/>
      <c r="D623" s="78"/>
      <c r="E623" s="78"/>
      <c r="F623" s="78"/>
      <c r="G623" s="78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  <c r="Z623" s="78"/>
    </row>
    <row r="624" spans="1:26" ht="12.75" customHeight="1" x14ac:dyDescent="0.2">
      <c r="A624" s="78"/>
      <c r="B624" s="78"/>
      <c r="C624" s="78"/>
      <c r="D624" s="78"/>
      <c r="E624" s="78"/>
      <c r="F624" s="78"/>
      <c r="G624" s="78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  <c r="Z624" s="78"/>
    </row>
    <row r="625" spans="1:26" ht="12.75" customHeight="1" x14ac:dyDescent="0.2">
      <c r="A625" s="78"/>
      <c r="B625" s="78"/>
      <c r="C625" s="78"/>
      <c r="D625" s="78"/>
      <c r="E625" s="78"/>
      <c r="F625" s="78"/>
      <c r="G625" s="78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  <c r="Z625" s="78"/>
    </row>
    <row r="626" spans="1:26" ht="12.75" customHeight="1" x14ac:dyDescent="0.2">
      <c r="A626" s="78"/>
      <c r="B626" s="78"/>
      <c r="C626" s="78"/>
      <c r="D626" s="78"/>
      <c r="E626" s="78"/>
      <c r="F626" s="78"/>
      <c r="G626" s="78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  <c r="Z626" s="78"/>
    </row>
    <row r="627" spans="1:26" ht="12.75" customHeight="1" x14ac:dyDescent="0.2">
      <c r="A627" s="78"/>
      <c r="B627" s="78"/>
      <c r="C627" s="78"/>
      <c r="D627" s="78"/>
      <c r="E627" s="78"/>
      <c r="F627" s="78"/>
      <c r="G627" s="78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  <c r="Z627" s="78"/>
    </row>
    <row r="628" spans="1:26" ht="12.75" customHeight="1" x14ac:dyDescent="0.2">
      <c r="A628" s="78"/>
      <c r="B628" s="78"/>
      <c r="C628" s="78"/>
      <c r="D628" s="78"/>
      <c r="E628" s="78"/>
      <c r="F628" s="78"/>
      <c r="G628" s="78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  <c r="Z628" s="78"/>
    </row>
    <row r="629" spans="1:26" ht="12.75" customHeight="1" x14ac:dyDescent="0.2">
      <c r="A629" s="78"/>
      <c r="B629" s="78"/>
      <c r="C629" s="78"/>
      <c r="D629" s="78"/>
      <c r="E629" s="78"/>
      <c r="F629" s="78"/>
      <c r="G629" s="78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  <c r="Z629" s="78"/>
    </row>
    <row r="630" spans="1:26" ht="12.75" customHeight="1" x14ac:dyDescent="0.2">
      <c r="A630" s="78"/>
      <c r="B630" s="78"/>
      <c r="C630" s="78"/>
      <c r="D630" s="78"/>
      <c r="E630" s="78"/>
      <c r="F630" s="78"/>
      <c r="G630" s="78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  <c r="Z630" s="78"/>
    </row>
    <row r="631" spans="1:26" ht="12.75" customHeight="1" x14ac:dyDescent="0.2">
      <c r="A631" s="78"/>
      <c r="B631" s="78"/>
      <c r="C631" s="78"/>
      <c r="D631" s="78"/>
      <c r="E631" s="78"/>
      <c r="F631" s="78"/>
      <c r="G631" s="78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</row>
    <row r="632" spans="1:26" ht="12.75" customHeight="1" x14ac:dyDescent="0.2">
      <c r="A632" s="78"/>
      <c r="B632" s="78"/>
      <c r="C632" s="78"/>
      <c r="D632" s="78"/>
      <c r="E632" s="78"/>
      <c r="F632" s="78"/>
      <c r="G632" s="78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  <c r="Z632" s="78"/>
    </row>
    <row r="633" spans="1:26" ht="12.75" customHeight="1" x14ac:dyDescent="0.2">
      <c r="A633" s="78"/>
      <c r="B633" s="78"/>
      <c r="C633" s="78"/>
      <c r="D633" s="78"/>
      <c r="E633" s="78"/>
      <c r="F633" s="78"/>
      <c r="G633" s="78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  <c r="Z633" s="78"/>
    </row>
    <row r="634" spans="1:26" ht="12.75" customHeight="1" x14ac:dyDescent="0.2">
      <c r="A634" s="78"/>
      <c r="B634" s="78"/>
      <c r="C634" s="78"/>
      <c r="D634" s="78"/>
      <c r="E634" s="78"/>
      <c r="F634" s="78"/>
      <c r="G634" s="78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  <c r="Z634" s="78"/>
    </row>
    <row r="635" spans="1:26" ht="12.75" customHeight="1" x14ac:dyDescent="0.2">
      <c r="A635" s="78"/>
      <c r="B635" s="78"/>
      <c r="C635" s="78"/>
      <c r="D635" s="78"/>
      <c r="E635" s="78"/>
      <c r="F635" s="78"/>
      <c r="G635" s="78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  <c r="Z635" s="78"/>
    </row>
    <row r="636" spans="1:26" ht="12.75" customHeight="1" x14ac:dyDescent="0.2">
      <c r="A636" s="78"/>
      <c r="B636" s="78"/>
      <c r="C636" s="78"/>
      <c r="D636" s="78"/>
      <c r="E636" s="78"/>
      <c r="F636" s="78"/>
      <c r="G636" s="78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  <c r="Z636" s="78"/>
    </row>
    <row r="637" spans="1:26" ht="12.75" customHeight="1" x14ac:dyDescent="0.2">
      <c r="A637" s="78"/>
      <c r="B637" s="78"/>
      <c r="C637" s="78"/>
      <c r="D637" s="78"/>
      <c r="E637" s="78"/>
      <c r="F637" s="78"/>
      <c r="G637" s="78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  <c r="Z637" s="78"/>
    </row>
    <row r="638" spans="1:26" ht="12.75" customHeight="1" x14ac:dyDescent="0.2">
      <c r="A638" s="78"/>
      <c r="B638" s="78"/>
      <c r="C638" s="78"/>
      <c r="D638" s="78"/>
      <c r="E638" s="78"/>
      <c r="F638" s="78"/>
      <c r="G638" s="78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  <c r="Z638" s="78"/>
    </row>
    <row r="639" spans="1:26" ht="12.75" customHeight="1" x14ac:dyDescent="0.2">
      <c r="A639" s="78"/>
      <c r="B639" s="78"/>
      <c r="C639" s="78"/>
      <c r="D639" s="78"/>
      <c r="E639" s="78"/>
      <c r="F639" s="78"/>
      <c r="G639" s="78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  <c r="Z639" s="78"/>
    </row>
    <row r="640" spans="1:26" ht="12.75" customHeight="1" x14ac:dyDescent="0.2">
      <c r="A640" s="78"/>
      <c r="B640" s="78"/>
      <c r="C640" s="78"/>
      <c r="D640" s="78"/>
      <c r="E640" s="78"/>
      <c r="F640" s="78"/>
      <c r="G640" s="78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  <c r="Z640" s="78"/>
    </row>
    <row r="641" spans="1:26" ht="12.75" customHeight="1" x14ac:dyDescent="0.2">
      <c r="A641" s="78"/>
      <c r="B641" s="78"/>
      <c r="C641" s="78"/>
      <c r="D641" s="78"/>
      <c r="E641" s="78"/>
      <c r="F641" s="78"/>
      <c r="G641" s="78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  <c r="Z641" s="78"/>
    </row>
    <row r="642" spans="1:26" ht="12.75" customHeight="1" x14ac:dyDescent="0.2">
      <c r="A642" s="78"/>
      <c r="B642" s="78"/>
      <c r="C642" s="78"/>
      <c r="D642" s="78"/>
      <c r="E642" s="78"/>
      <c r="F642" s="78"/>
      <c r="G642" s="78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  <c r="Z642" s="78"/>
    </row>
    <row r="643" spans="1:26" ht="12.75" customHeight="1" x14ac:dyDescent="0.2">
      <c r="A643" s="78"/>
      <c r="B643" s="78"/>
      <c r="C643" s="78"/>
      <c r="D643" s="78"/>
      <c r="E643" s="78"/>
      <c r="F643" s="78"/>
      <c r="G643" s="78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</row>
    <row r="644" spans="1:26" ht="12.75" customHeight="1" x14ac:dyDescent="0.2">
      <c r="A644" s="78"/>
      <c r="B644" s="78"/>
      <c r="C644" s="78"/>
      <c r="D644" s="78"/>
      <c r="E644" s="78"/>
      <c r="F644" s="78"/>
      <c r="G644" s="78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  <c r="Z644" s="78"/>
    </row>
    <row r="645" spans="1:26" ht="12.75" customHeight="1" x14ac:dyDescent="0.2">
      <c r="A645" s="78"/>
      <c r="B645" s="78"/>
      <c r="C645" s="78"/>
      <c r="D645" s="78"/>
      <c r="E645" s="78"/>
      <c r="F645" s="78"/>
      <c r="G645" s="78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  <c r="Z645" s="78"/>
    </row>
    <row r="646" spans="1:26" ht="12.75" customHeight="1" x14ac:dyDescent="0.2">
      <c r="A646" s="78"/>
      <c r="B646" s="78"/>
      <c r="C646" s="78"/>
      <c r="D646" s="78"/>
      <c r="E646" s="78"/>
      <c r="F646" s="78"/>
      <c r="G646" s="78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  <c r="Z646" s="78"/>
    </row>
    <row r="647" spans="1:26" ht="12.75" customHeight="1" x14ac:dyDescent="0.2">
      <c r="A647" s="78"/>
      <c r="B647" s="78"/>
      <c r="C647" s="78"/>
      <c r="D647" s="78"/>
      <c r="E647" s="78"/>
      <c r="F647" s="78"/>
      <c r="G647" s="78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  <c r="Z647" s="78"/>
    </row>
    <row r="648" spans="1:26" ht="12.75" customHeight="1" x14ac:dyDescent="0.2">
      <c r="A648" s="78"/>
      <c r="B648" s="78"/>
      <c r="C648" s="78"/>
      <c r="D648" s="78"/>
      <c r="E648" s="78"/>
      <c r="F648" s="78"/>
      <c r="G648" s="78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  <c r="Z648" s="78"/>
    </row>
    <row r="649" spans="1:26" ht="12.75" customHeight="1" x14ac:dyDescent="0.2">
      <c r="A649" s="78"/>
      <c r="B649" s="78"/>
      <c r="C649" s="78"/>
      <c r="D649" s="78"/>
      <c r="E649" s="78"/>
      <c r="F649" s="78"/>
      <c r="G649" s="78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  <c r="Z649" s="78"/>
    </row>
    <row r="650" spans="1:26" ht="12.75" customHeight="1" x14ac:dyDescent="0.2">
      <c r="A650" s="78"/>
      <c r="B650" s="78"/>
      <c r="C650" s="78"/>
      <c r="D650" s="78"/>
      <c r="E650" s="78"/>
      <c r="F650" s="78"/>
      <c r="G650" s="78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  <c r="Z650" s="78"/>
    </row>
    <row r="651" spans="1:26" ht="12.75" customHeight="1" x14ac:dyDescent="0.2">
      <c r="A651" s="78"/>
      <c r="B651" s="78"/>
      <c r="C651" s="78"/>
      <c r="D651" s="78"/>
      <c r="E651" s="78"/>
      <c r="F651" s="78"/>
      <c r="G651" s="78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  <c r="Z651" s="78"/>
    </row>
    <row r="652" spans="1:26" ht="12.75" customHeight="1" x14ac:dyDescent="0.2">
      <c r="A652" s="78"/>
      <c r="B652" s="78"/>
      <c r="C652" s="78"/>
      <c r="D652" s="78"/>
      <c r="E652" s="78"/>
      <c r="F652" s="78"/>
      <c r="G652" s="78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  <c r="Y652" s="78"/>
      <c r="Z652" s="78"/>
    </row>
    <row r="653" spans="1:26" ht="12.75" customHeight="1" x14ac:dyDescent="0.2">
      <c r="A653" s="78"/>
      <c r="B653" s="78"/>
      <c r="C653" s="78"/>
      <c r="D653" s="78"/>
      <c r="E653" s="78"/>
      <c r="F653" s="78"/>
      <c r="G653" s="78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  <c r="Y653" s="78"/>
      <c r="Z653" s="78"/>
    </row>
    <row r="654" spans="1:26" ht="12.75" customHeight="1" x14ac:dyDescent="0.2">
      <c r="A654" s="78"/>
      <c r="B654" s="78"/>
      <c r="C654" s="78"/>
      <c r="D654" s="78"/>
      <c r="E654" s="78"/>
      <c r="F654" s="78"/>
      <c r="G654" s="78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  <c r="Y654" s="78"/>
      <c r="Z654" s="78"/>
    </row>
    <row r="655" spans="1:26" ht="12.75" customHeight="1" x14ac:dyDescent="0.2">
      <c r="A655" s="78"/>
      <c r="B655" s="78"/>
      <c r="C655" s="78"/>
      <c r="D655" s="78"/>
      <c r="E655" s="78"/>
      <c r="F655" s="78"/>
      <c r="G655" s="78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  <c r="Y655" s="78"/>
      <c r="Z655" s="78"/>
    </row>
    <row r="656" spans="1:26" ht="12.75" customHeight="1" x14ac:dyDescent="0.2">
      <c r="A656" s="78"/>
      <c r="B656" s="78"/>
      <c r="C656" s="78"/>
      <c r="D656" s="78"/>
      <c r="E656" s="78"/>
      <c r="F656" s="78"/>
      <c r="G656" s="78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  <c r="Y656" s="78"/>
      <c r="Z656" s="78"/>
    </row>
    <row r="657" spans="1:26" ht="12.75" customHeight="1" x14ac:dyDescent="0.2">
      <c r="A657" s="78"/>
      <c r="B657" s="78"/>
      <c r="C657" s="78"/>
      <c r="D657" s="78"/>
      <c r="E657" s="78"/>
      <c r="F657" s="78"/>
      <c r="G657" s="78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  <c r="Y657" s="78"/>
      <c r="Z657" s="78"/>
    </row>
    <row r="658" spans="1:26" ht="12.75" customHeight="1" x14ac:dyDescent="0.2">
      <c r="A658" s="78"/>
      <c r="B658" s="78"/>
      <c r="C658" s="78"/>
      <c r="D658" s="78"/>
      <c r="E658" s="78"/>
      <c r="F658" s="78"/>
      <c r="G658" s="78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8"/>
      <c r="Z658" s="78"/>
    </row>
    <row r="659" spans="1:26" ht="12.75" customHeight="1" x14ac:dyDescent="0.2">
      <c r="A659" s="78"/>
      <c r="B659" s="78"/>
      <c r="C659" s="78"/>
      <c r="D659" s="78"/>
      <c r="E659" s="78"/>
      <c r="F659" s="78"/>
      <c r="G659" s="78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8"/>
      <c r="Z659" s="78"/>
    </row>
    <row r="660" spans="1:26" ht="12.75" customHeight="1" x14ac:dyDescent="0.2">
      <c r="A660" s="78"/>
      <c r="B660" s="78"/>
      <c r="C660" s="78"/>
      <c r="D660" s="78"/>
      <c r="E660" s="78"/>
      <c r="F660" s="78"/>
      <c r="G660" s="78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  <c r="Y660" s="78"/>
      <c r="Z660" s="78"/>
    </row>
    <row r="661" spans="1:26" ht="12.75" customHeight="1" x14ac:dyDescent="0.2">
      <c r="A661" s="78"/>
      <c r="B661" s="78"/>
      <c r="C661" s="78"/>
      <c r="D661" s="78"/>
      <c r="E661" s="78"/>
      <c r="F661" s="78"/>
      <c r="G661" s="78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  <c r="Y661" s="78"/>
      <c r="Z661" s="78"/>
    </row>
    <row r="662" spans="1:26" ht="12.75" customHeight="1" x14ac:dyDescent="0.2">
      <c r="A662" s="78"/>
      <c r="B662" s="78"/>
      <c r="C662" s="78"/>
      <c r="D662" s="78"/>
      <c r="E662" s="78"/>
      <c r="F662" s="78"/>
      <c r="G662" s="78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8"/>
      <c r="Z662" s="78"/>
    </row>
    <row r="663" spans="1:26" ht="12.75" customHeight="1" x14ac:dyDescent="0.2">
      <c r="A663" s="78"/>
      <c r="B663" s="78"/>
      <c r="C663" s="78"/>
      <c r="D663" s="78"/>
      <c r="E663" s="78"/>
      <c r="F663" s="78"/>
      <c r="G663" s="78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  <c r="Y663" s="78"/>
      <c r="Z663" s="78"/>
    </row>
    <row r="664" spans="1:26" ht="12.75" customHeight="1" x14ac:dyDescent="0.2">
      <c r="A664" s="78"/>
      <c r="B664" s="78"/>
      <c r="C664" s="78"/>
      <c r="D664" s="78"/>
      <c r="E664" s="78"/>
      <c r="F664" s="78"/>
      <c r="G664" s="78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  <c r="Y664" s="78"/>
      <c r="Z664" s="78"/>
    </row>
    <row r="665" spans="1:26" ht="12.75" customHeight="1" x14ac:dyDescent="0.2">
      <c r="A665" s="78"/>
      <c r="B665" s="78"/>
      <c r="C665" s="78"/>
      <c r="D665" s="78"/>
      <c r="E665" s="78"/>
      <c r="F665" s="78"/>
      <c r="G665" s="78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  <c r="Y665" s="78"/>
      <c r="Z665" s="78"/>
    </row>
    <row r="666" spans="1:26" ht="12.75" customHeight="1" x14ac:dyDescent="0.2">
      <c r="A666" s="78"/>
      <c r="B666" s="78"/>
      <c r="C666" s="78"/>
      <c r="D666" s="78"/>
      <c r="E666" s="78"/>
      <c r="F666" s="78"/>
      <c r="G666" s="78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  <c r="Y666" s="78"/>
      <c r="Z666" s="78"/>
    </row>
    <row r="667" spans="1:26" ht="12.75" customHeight="1" x14ac:dyDescent="0.2">
      <c r="A667" s="78"/>
      <c r="B667" s="78"/>
      <c r="C667" s="78"/>
      <c r="D667" s="78"/>
      <c r="E667" s="78"/>
      <c r="F667" s="78"/>
      <c r="G667" s="78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  <c r="Y667" s="78"/>
      <c r="Z667" s="78"/>
    </row>
    <row r="668" spans="1:26" ht="12.75" customHeight="1" x14ac:dyDescent="0.2">
      <c r="A668" s="78"/>
      <c r="B668" s="78"/>
      <c r="C668" s="78"/>
      <c r="D668" s="78"/>
      <c r="E668" s="78"/>
      <c r="F668" s="78"/>
      <c r="G668" s="78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  <c r="Y668" s="78"/>
      <c r="Z668" s="78"/>
    </row>
    <row r="669" spans="1:26" ht="12.75" customHeight="1" x14ac:dyDescent="0.2">
      <c r="A669" s="78"/>
      <c r="B669" s="78"/>
      <c r="C669" s="78"/>
      <c r="D669" s="78"/>
      <c r="E669" s="78"/>
      <c r="F669" s="78"/>
      <c r="G669" s="78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  <c r="Z669" s="78"/>
    </row>
    <row r="670" spans="1:26" ht="12.75" customHeight="1" x14ac:dyDescent="0.2">
      <c r="A670" s="78"/>
      <c r="B670" s="78"/>
      <c r="C670" s="78"/>
      <c r="D670" s="78"/>
      <c r="E670" s="78"/>
      <c r="F670" s="78"/>
      <c r="G670" s="78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  <c r="Y670" s="78"/>
      <c r="Z670" s="78"/>
    </row>
    <row r="671" spans="1:26" ht="12.75" customHeight="1" x14ac:dyDescent="0.2">
      <c r="A671" s="78"/>
      <c r="B671" s="78"/>
      <c r="C671" s="78"/>
      <c r="D671" s="78"/>
      <c r="E671" s="78"/>
      <c r="F671" s="78"/>
      <c r="G671" s="78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  <c r="Y671" s="78"/>
      <c r="Z671" s="78"/>
    </row>
    <row r="672" spans="1:26" ht="12.75" customHeight="1" x14ac:dyDescent="0.2">
      <c r="A672" s="78"/>
      <c r="B672" s="78"/>
      <c r="C672" s="78"/>
      <c r="D672" s="78"/>
      <c r="E672" s="78"/>
      <c r="F672" s="78"/>
      <c r="G672" s="78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8"/>
      <c r="Z672" s="78"/>
    </row>
    <row r="673" spans="1:26" ht="12.75" customHeight="1" x14ac:dyDescent="0.2">
      <c r="A673" s="78"/>
      <c r="B673" s="78"/>
      <c r="C673" s="78"/>
      <c r="D673" s="78"/>
      <c r="E673" s="78"/>
      <c r="F673" s="78"/>
      <c r="G673" s="78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  <c r="Y673" s="78"/>
      <c r="Z673" s="78"/>
    </row>
    <row r="674" spans="1:26" ht="12.75" customHeight="1" x14ac:dyDescent="0.2">
      <c r="A674" s="78"/>
      <c r="B674" s="78"/>
      <c r="C674" s="78"/>
      <c r="D674" s="78"/>
      <c r="E674" s="78"/>
      <c r="F674" s="78"/>
      <c r="G674" s="78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  <c r="Y674" s="78"/>
      <c r="Z674" s="78"/>
    </row>
    <row r="675" spans="1:26" ht="12.75" customHeight="1" x14ac:dyDescent="0.2">
      <c r="A675" s="78"/>
      <c r="B675" s="78"/>
      <c r="C675" s="78"/>
      <c r="D675" s="78"/>
      <c r="E675" s="78"/>
      <c r="F675" s="78"/>
      <c r="G675" s="78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  <c r="Y675" s="78"/>
      <c r="Z675" s="78"/>
    </row>
    <row r="676" spans="1:26" ht="12.75" customHeight="1" x14ac:dyDescent="0.2">
      <c r="A676" s="78"/>
      <c r="B676" s="78"/>
      <c r="C676" s="78"/>
      <c r="D676" s="78"/>
      <c r="E676" s="78"/>
      <c r="F676" s="78"/>
      <c r="G676" s="78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  <c r="Y676" s="78"/>
      <c r="Z676" s="78"/>
    </row>
    <row r="677" spans="1:26" ht="12.75" customHeight="1" x14ac:dyDescent="0.2">
      <c r="A677" s="78"/>
      <c r="B677" s="78"/>
      <c r="C677" s="78"/>
      <c r="D677" s="78"/>
      <c r="E677" s="78"/>
      <c r="F677" s="78"/>
      <c r="G677" s="78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  <c r="Y677" s="78"/>
      <c r="Z677" s="78"/>
    </row>
    <row r="678" spans="1:26" ht="12.75" customHeight="1" x14ac:dyDescent="0.2">
      <c r="A678" s="78"/>
      <c r="B678" s="78"/>
      <c r="C678" s="78"/>
      <c r="D678" s="78"/>
      <c r="E678" s="78"/>
      <c r="F678" s="78"/>
      <c r="G678" s="78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  <c r="Y678" s="78"/>
      <c r="Z678" s="78"/>
    </row>
    <row r="679" spans="1:26" ht="12.75" customHeight="1" x14ac:dyDescent="0.2">
      <c r="A679" s="78"/>
      <c r="B679" s="78"/>
      <c r="C679" s="78"/>
      <c r="D679" s="78"/>
      <c r="E679" s="78"/>
      <c r="F679" s="78"/>
      <c r="G679" s="78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  <c r="Y679" s="78"/>
      <c r="Z679" s="78"/>
    </row>
    <row r="680" spans="1:26" ht="12.75" customHeight="1" x14ac:dyDescent="0.2">
      <c r="A680" s="78"/>
      <c r="B680" s="78"/>
      <c r="C680" s="78"/>
      <c r="D680" s="78"/>
      <c r="E680" s="78"/>
      <c r="F680" s="78"/>
      <c r="G680" s="78"/>
      <c r="H680" s="78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  <c r="Y680" s="78"/>
      <c r="Z680" s="78"/>
    </row>
    <row r="681" spans="1:26" ht="12.75" customHeight="1" x14ac:dyDescent="0.2">
      <c r="A681" s="78"/>
      <c r="B681" s="78"/>
      <c r="C681" s="78"/>
      <c r="D681" s="78"/>
      <c r="E681" s="78"/>
      <c r="F681" s="78"/>
      <c r="G681" s="78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8"/>
      <c r="Z681" s="78"/>
    </row>
    <row r="682" spans="1:26" ht="12.75" customHeight="1" x14ac:dyDescent="0.2">
      <c r="A682" s="78"/>
      <c r="B682" s="78"/>
      <c r="C682" s="78"/>
      <c r="D682" s="78"/>
      <c r="E682" s="78"/>
      <c r="F682" s="78"/>
      <c r="G682" s="78"/>
      <c r="H682" s="78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8"/>
      <c r="Z682" s="78"/>
    </row>
    <row r="683" spans="1:26" ht="12.75" customHeight="1" x14ac:dyDescent="0.2">
      <c r="A683" s="78"/>
      <c r="B683" s="78"/>
      <c r="C683" s="78"/>
      <c r="D683" s="78"/>
      <c r="E683" s="78"/>
      <c r="F683" s="78"/>
      <c r="G683" s="78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</row>
    <row r="684" spans="1:26" ht="12.75" customHeight="1" x14ac:dyDescent="0.2">
      <c r="A684" s="78"/>
      <c r="B684" s="78"/>
      <c r="C684" s="78"/>
      <c r="D684" s="78"/>
      <c r="E684" s="78"/>
      <c r="F684" s="78"/>
      <c r="G684" s="78"/>
      <c r="H684" s="78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  <c r="X684" s="78"/>
      <c r="Y684" s="78"/>
      <c r="Z684" s="78"/>
    </row>
    <row r="685" spans="1:26" ht="12.75" customHeight="1" x14ac:dyDescent="0.2">
      <c r="A685" s="78"/>
      <c r="B685" s="78"/>
      <c r="C685" s="78"/>
      <c r="D685" s="78"/>
      <c r="E685" s="78"/>
      <c r="F685" s="78"/>
      <c r="G685" s="78"/>
      <c r="H685" s="78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  <c r="Y685" s="78"/>
      <c r="Z685" s="78"/>
    </row>
    <row r="686" spans="1:26" ht="12.75" customHeight="1" x14ac:dyDescent="0.2">
      <c r="A686" s="78"/>
      <c r="B686" s="78"/>
      <c r="C686" s="78"/>
      <c r="D686" s="78"/>
      <c r="E686" s="78"/>
      <c r="F686" s="78"/>
      <c r="G686" s="78"/>
      <c r="H686" s="78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  <c r="X686" s="78"/>
      <c r="Y686" s="78"/>
      <c r="Z686" s="78"/>
    </row>
    <row r="687" spans="1:26" ht="12.75" customHeight="1" x14ac:dyDescent="0.2">
      <c r="A687" s="78"/>
      <c r="B687" s="78"/>
      <c r="C687" s="78"/>
      <c r="D687" s="78"/>
      <c r="E687" s="78"/>
      <c r="F687" s="78"/>
      <c r="G687" s="78"/>
      <c r="H687" s="78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  <c r="X687" s="78"/>
      <c r="Y687" s="78"/>
      <c r="Z687" s="78"/>
    </row>
    <row r="688" spans="1:26" ht="12.75" customHeight="1" x14ac:dyDescent="0.2">
      <c r="A688" s="78"/>
      <c r="B688" s="78"/>
      <c r="C688" s="78"/>
      <c r="D688" s="78"/>
      <c r="E688" s="78"/>
      <c r="F688" s="78"/>
      <c r="G688" s="78"/>
      <c r="H688" s="78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  <c r="Y688" s="78"/>
      <c r="Z688" s="78"/>
    </row>
    <row r="689" spans="1:26" ht="12.75" customHeight="1" x14ac:dyDescent="0.2">
      <c r="A689" s="78"/>
      <c r="B689" s="78"/>
      <c r="C689" s="78"/>
      <c r="D689" s="78"/>
      <c r="E689" s="78"/>
      <c r="F689" s="78"/>
      <c r="G689" s="78"/>
      <c r="H689" s="78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  <c r="Y689" s="78"/>
      <c r="Z689" s="78"/>
    </row>
    <row r="690" spans="1:26" ht="12.75" customHeight="1" x14ac:dyDescent="0.2">
      <c r="A690" s="78"/>
      <c r="B690" s="78"/>
      <c r="C690" s="78"/>
      <c r="D690" s="78"/>
      <c r="E690" s="78"/>
      <c r="F690" s="78"/>
      <c r="G690" s="78"/>
      <c r="H690" s="78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  <c r="Y690" s="78"/>
      <c r="Z690" s="78"/>
    </row>
    <row r="691" spans="1:26" ht="12.75" customHeight="1" x14ac:dyDescent="0.2">
      <c r="A691" s="78"/>
      <c r="B691" s="78"/>
      <c r="C691" s="78"/>
      <c r="D691" s="78"/>
      <c r="E691" s="78"/>
      <c r="F691" s="78"/>
      <c r="G691" s="78"/>
      <c r="H691" s="78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  <c r="Y691" s="78"/>
      <c r="Z691" s="78"/>
    </row>
    <row r="692" spans="1:26" ht="12.75" customHeight="1" x14ac:dyDescent="0.2">
      <c r="A692" s="78"/>
      <c r="B692" s="78"/>
      <c r="C692" s="78"/>
      <c r="D692" s="78"/>
      <c r="E692" s="78"/>
      <c r="F692" s="78"/>
      <c r="G692" s="78"/>
      <c r="H692" s="78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  <c r="Y692" s="78"/>
      <c r="Z692" s="78"/>
    </row>
    <row r="693" spans="1:26" ht="12.75" customHeight="1" x14ac:dyDescent="0.2">
      <c r="A693" s="78"/>
      <c r="B693" s="78"/>
      <c r="C693" s="78"/>
      <c r="D693" s="78"/>
      <c r="E693" s="78"/>
      <c r="F693" s="78"/>
      <c r="G693" s="78"/>
      <c r="H693" s="78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  <c r="Y693" s="78"/>
      <c r="Z693" s="78"/>
    </row>
    <row r="694" spans="1:26" ht="12.75" customHeight="1" x14ac:dyDescent="0.2">
      <c r="A694" s="78"/>
      <c r="B694" s="78"/>
      <c r="C694" s="78"/>
      <c r="D694" s="78"/>
      <c r="E694" s="78"/>
      <c r="F694" s="78"/>
      <c r="G694" s="78"/>
      <c r="H694" s="78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  <c r="Y694" s="78"/>
      <c r="Z694" s="78"/>
    </row>
    <row r="695" spans="1:26" ht="12.75" customHeight="1" x14ac:dyDescent="0.2">
      <c r="A695" s="78"/>
      <c r="B695" s="78"/>
      <c r="C695" s="78"/>
      <c r="D695" s="78"/>
      <c r="E695" s="78"/>
      <c r="F695" s="78"/>
      <c r="G695" s="78"/>
      <c r="H695" s="78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  <c r="Y695" s="78"/>
      <c r="Z695" s="78"/>
    </row>
    <row r="696" spans="1:26" ht="12.75" customHeight="1" x14ac:dyDescent="0.2">
      <c r="A696" s="78"/>
      <c r="B696" s="78"/>
      <c r="C696" s="78"/>
      <c r="D696" s="78"/>
      <c r="E696" s="78"/>
      <c r="F696" s="78"/>
      <c r="G696" s="78"/>
      <c r="H696" s="78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  <c r="Y696" s="78"/>
      <c r="Z696" s="78"/>
    </row>
    <row r="697" spans="1:26" ht="12.75" customHeight="1" x14ac:dyDescent="0.2">
      <c r="A697" s="78"/>
      <c r="B697" s="78"/>
      <c r="C697" s="78"/>
      <c r="D697" s="78"/>
      <c r="E697" s="78"/>
      <c r="F697" s="78"/>
      <c r="G697" s="78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8"/>
      <c r="Z697" s="78"/>
    </row>
    <row r="698" spans="1:26" ht="12.75" customHeight="1" x14ac:dyDescent="0.2">
      <c r="A698" s="78"/>
      <c r="B698" s="78"/>
      <c r="C698" s="78"/>
      <c r="D698" s="78"/>
      <c r="E698" s="78"/>
      <c r="F698" s="78"/>
      <c r="G698" s="78"/>
      <c r="H698" s="78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  <c r="Y698" s="78"/>
      <c r="Z698" s="78"/>
    </row>
    <row r="699" spans="1:26" ht="12.75" customHeight="1" x14ac:dyDescent="0.2">
      <c r="A699" s="78"/>
      <c r="B699" s="78"/>
      <c r="C699" s="78"/>
      <c r="D699" s="78"/>
      <c r="E699" s="78"/>
      <c r="F699" s="78"/>
      <c r="G699" s="78"/>
      <c r="H699" s="78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  <c r="Y699" s="78"/>
      <c r="Z699" s="78"/>
    </row>
    <row r="700" spans="1:26" ht="12.75" customHeight="1" x14ac:dyDescent="0.2">
      <c r="A700" s="78"/>
      <c r="B700" s="78"/>
      <c r="C700" s="78"/>
      <c r="D700" s="78"/>
      <c r="E700" s="78"/>
      <c r="F700" s="78"/>
      <c r="G700" s="78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8"/>
      <c r="Z700" s="78"/>
    </row>
    <row r="701" spans="1:26" ht="12.75" customHeight="1" x14ac:dyDescent="0.2">
      <c r="A701" s="78"/>
      <c r="B701" s="78"/>
      <c r="C701" s="78"/>
      <c r="D701" s="78"/>
      <c r="E701" s="78"/>
      <c r="F701" s="78"/>
      <c r="G701" s="78"/>
      <c r="H701" s="78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  <c r="Y701" s="78"/>
      <c r="Z701" s="78"/>
    </row>
    <row r="702" spans="1:26" ht="12.75" customHeight="1" x14ac:dyDescent="0.2">
      <c r="A702" s="78"/>
      <c r="B702" s="78"/>
      <c r="C702" s="78"/>
      <c r="D702" s="78"/>
      <c r="E702" s="78"/>
      <c r="F702" s="78"/>
      <c r="G702" s="78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</row>
    <row r="703" spans="1:26" ht="12.75" customHeight="1" x14ac:dyDescent="0.2">
      <c r="A703" s="78"/>
      <c r="B703" s="78"/>
      <c r="C703" s="78"/>
      <c r="D703" s="78"/>
      <c r="E703" s="78"/>
      <c r="F703" s="78"/>
      <c r="G703" s="78"/>
      <c r="H703" s="78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  <c r="Y703" s="78"/>
      <c r="Z703" s="78"/>
    </row>
    <row r="704" spans="1:26" ht="12.75" customHeight="1" x14ac:dyDescent="0.2">
      <c r="A704" s="78"/>
      <c r="B704" s="78"/>
      <c r="C704" s="78"/>
      <c r="D704" s="78"/>
      <c r="E704" s="78"/>
      <c r="F704" s="78"/>
      <c r="G704" s="78"/>
      <c r="H704" s="78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  <c r="Y704" s="78"/>
      <c r="Z704" s="78"/>
    </row>
    <row r="705" spans="1:26" ht="12.75" customHeight="1" x14ac:dyDescent="0.2">
      <c r="A705" s="78"/>
      <c r="B705" s="78"/>
      <c r="C705" s="78"/>
      <c r="D705" s="78"/>
      <c r="E705" s="78"/>
      <c r="F705" s="78"/>
      <c r="G705" s="78"/>
      <c r="H705" s="78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  <c r="Y705" s="78"/>
      <c r="Z705" s="78"/>
    </row>
    <row r="706" spans="1:26" ht="12.75" customHeight="1" x14ac:dyDescent="0.2">
      <c r="A706" s="78"/>
      <c r="B706" s="78"/>
      <c r="C706" s="78"/>
      <c r="D706" s="78"/>
      <c r="E706" s="78"/>
      <c r="F706" s="78"/>
      <c r="G706" s="78"/>
      <c r="H706" s="78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8"/>
      <c r="Z706" s="78"/>
    </row>
    <row r="707" spans="1:26" ht="12.75" customHeight="1" x14ac:dyDescent="0.2">
      <c r="A707" s="78"/>
      <c r="B707" s="78"/>
      <c r="C707" s="78"/>
      <c r="D707" s="78"/>
      <c r="E707" s="78"/>
      <c r="F707" s="78"/>
      <c r="G707" s="78"/>
      <c r="H707" s="78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  <c r="Y707" s="78"/>
      <c r="Z707" s="78"/>
    </row>
    <row r="708" spans="1:26" ht="12.75" customHeight="1" x14ac:dyDescent="0.2">
      <c r="A708" s="78"/>
      <c r="B708" s="78"/>
      <c r="C708" s="78"/>
      <c r="D708" s="78"/>
      <c r="E708" s="78"/>
      <c r="F708" s="78"/>
      <c r="G708" s="78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  <c r="Y708" s="78"/>
      <c r="Z708" s="78"/>
    </row>
    <row r="709" spans="1:26" ht="12.75" customHeight="1" x14ac:dyDescent="0.2">
      <c r="A709" s="78"/>
      <c r="B709" s="78"/>
      <c r="C709" s="78"/>
      <c r="D709" s="78"/>
      <c r="E709" s="78"/>
      <c r="F709" s="78"/>
      <c r="G709" s="78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  <c r="Y709" s="78"/>
      <c r="Z709" s="78"/>
    </row>
    <row r="710" spans="1:26" ht="12.75" customHeight="1" x14ac:dyDescent="0.2">
      <c r="A710" s="78"/>
      <c r="B710" s="78"/>
      <c r="C710" s="78"/>
      <c r="D710" s="78"/>
      <c r="E710" s="78"/>
      <c r="F710" s="78"/>
      <c r="G710" s="78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  <c r="Y710" s="78"/>
      <c r="Z710" s="78"/>
    </row>
    <row r="711" spans="1:26" ht="12.75" customHeight="1" x14ac:dyDescent="0.2">
      <c r="A711" s="78"/>
      <c r="B711" s="78"/>
      <c r="C711" s="78"/>
      <c r="D711" s="78"/>
      <c r="E711" s="78"/>
      <c r="F711" s="78"/>
      <c r="G711" s="78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8"/>
      <c r="Z711" s="78"/>
    </row>
    <row r="712" spans="1:26" ht="12.75" customHeight="1" x14ac:dyDescent="0.2">
      <c r="A712" s="78"/>
      <c r="B712" s="78"/>
      <c r="C712" s="78"/>
      <c r="D712" s="78"/>
      <c r="E712" s="78"/>
      <c r="F712" s="78"/>
      <c r="G712" s="78"/>
      <c r="H712" s="78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8"/>
      <c r="Z712" s="78"/>
    </row>
    <row r="713" spans="1:26" ht="12.75" customHeight="1" x14ac:dyDescent="0.2">
      <c r="A713" s="78"/>
      <c r="B713" s="78"/>
      <c r="C713" s="78"/>
      <c r="D713" s="78"/>
      <c r="E713" s="78"/>
      <c r="F713" s="78"/>
      <c r="G713" s="78"/>
      <c r="H713" s="78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  <c r="Y713" s="78"/>
      <c r="Z713" s="78"/>
    </row>
    <row r="714" spans="1:26" ht="12.75" customHeight="1" x14ac:dyDescent="0.2">
      <c r="A714" s="78"/>
      <c r="B714" s="78"/>
      <c r="C714" s="78"/>
      <c r="D714" s="78"/>
      <c r="E714" s="78"/>
      <c r="F714" s="78"/>
      <c r="G714" s="78"/>
      <c r="H714" s="78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  <c r="Y714" s="78"/>
      <c r="Z714" s="78"/>
    </row>
    <row r="715" spans="1:26" ht="12.75" customHeight="1" x14ac:dyDescent="0.2">
      <c r="A715" s="78"/>
      <c r="B715" s="78"/>
      <c r="C715" s="78"/>
      <c r="D715" s="78"/>
      <c r="E715" s="78"/>
      <c r="F715" s="78"/>
      <c r="G715" s="78"/>
      <c r="H715" s="78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  <c r="Y715" s="78"/>
      <c r="Z715" s="78"/>
    </row>
    <row r="716" spans="1:26" ht="12.75" customHeight="1" x14ac:dyDescent="0.2">
      <c r="A716" s="78"/>
      <c r="B716" s="78"/>
      <c r="C716" s="78"/>
      <c r="D716" s="78"/>
      <c r="E716" s="78"/>
      <c r="F716" s="78"/>
      <c r="G716" s="78"/>
      <c r="H716" s="78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  <c r="Y716" s="78"/>
      <c r="Z716" s="78"/>
    </row>
    <row r="717" spans="1:26" ht="12.75" customHeight="1" x14ac:dyDescent="0.2">
      <c r="A717" s="78"/>
      <c r="B717" s="78"/>
      <c r="C717" s="78"/>
      <c r="D717" s="78"/>
      <c r="E717" s="78"/>
      <c r="F717" s="78"/>
      <c r="G717" s="78"/>
      <c r="H717" s="78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  <c r="Y717" s="78"/>
      <c r="Z717" s="78"/>
    </row>
    <row r="718" spans="1:26" ht="12.75" customHeight="1" x14ac:dyDescent="0.2">
      <c r="A718" s="78"/>
      <c r="B718" s="78"/>
      <c r="C718" s="78"/>
      <c r="D718" s="78"/>
      <c r="E718" s="78"/>
      <c r="F718" s="78"/>
      <c r="G718" s="78"/>
      <c r="H718" s="78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  <c r="Y718" s="78"/>
      <c r="Z718" s="78"/>
    </row>
    <row r="719" spans="1:26" ht="12.75" customHeight="1" x14ac:dyDescent="0.2">
      <c r="A719" s="78"/>
      <c r="B719" s="78"/>
      <c r="C719" s="78"/>
      <c r="D719" s="78"/>
      <c r="E719" s="78"/>
      <c r="F719" s="78"/>
      <c r="G719" s="78"/>
      <c r="H719" s="78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  <c r="Y719" s="78"/>
      <c r="Z719" s="78"/>
    </row>
    <row r="720" spans="1:26" ht="12.75" customHeight="1" x14ac:dyDescent="0.2">
      <c r="A720" s="78"/>
      <c r="B720" s="78"/>
      <c r="C720" s="78"/>
      <c r="D720" s="78"/>
      <c r="E720" s="78"/>
      <c r="F720" s="78"/>
      <c r="G720" s="78"/>
      <c r="H720" s="78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  <c r="Y720" s="78"/>
      <c r="Z720" s="78"/>
    </row>
    <row r="721" spans="1:26" ht="12.75" customHeight="1" x14ac:dyDescent="0.2">
      <c r="A721" s="78"/>
      <c r="B721" s="78"/>
      <c r="C721" s="78"/>
      <c r="D721" s="78"/>
      <c r="E721" s="78"/>
      <c r="F721" s="78"/>
      <c r="G721" s="78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8"/>
      <c r="Z721" s="78"/>
    </row>
    <row r="722" spans="1:26" ht="12.75" customHeight="1" x14ac:dyDescent="0.2">
      <c r="A722" s="78"/>
      <c r="B722" s="78"/>
      <c r="C722" s="78"/>
      <c r="D722" s="78"/>
      <c r="E722" s="78"/>
      <c r="F722" s="78"/>
      <c r="G722" s="78"/>
      <c r="H722" s="78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8"/>
      <c r="Z722" s="78"/>
    </row>
    <row r="723" spans="1:26" ht="12.75" customHeight="1" x14ac:dyDescent="0.2">
      <c r="A723" s="78"/>
      <c r="B723" s="78"/>
      <c r="C723" s="78"/>
      <c r="D723" s="78"/>
      <c r="E723" s="78"/>
      <c r="F723" s="78"/>
      <c r="G723" s="78"/>
      <c r="H723" s="78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  <c r="Z723" s="78"/>
    </row>
    <row r="724" spans="1:26" ht="12.75" customHeight="1" x14ac:dyDescent="0.2">
      <c r="A724" s="78"/>
      <c r="B724" s="78"/>
      <c r="C724" s="78"/>
      <c r="D724" s="78"/>
      <c r="E724" s="78"/>
      <c r="F724" s="78"/>
      <c r="G724" s="78"/>
      <c r="H724" s="78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8"/>
      <c r="Z724" s="78"/>
    </row>
    <row r="725" spans="1:26" ht="12.75" customHeight="1" x14ac:dyDescent="0.2">
      <c r="A725" s="78"/>
      <c r="B725" s="78"/>
      <c r="C725" s="78"/>
      <c r="D725" s="78"/>
      <c r="E725" s="78"/>
      <c r="F725" s="78"/>
      <c r="G725" s="78"/>
      <c r="H725" s="78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  <c r="Y725" s="78"/>
      <c r="Z725" s="78"/>
    </row>
    <row r="726" spans="1:26" ht="12.75" customHeight="1" x14ac:dyDescent="0.2">
      <c r="A726" s="78"/>
      <c r="B726" s="78"/>
      <c r="C726" s="78"/>
      <c r="D726" s="78"/>
      <c r="E726" s="78"/>
      <c r="F726" s="78"/>
      <c r="G726" s="78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  <c r="Y726" s="78"/>
      <c r="Z726" s="78"/>
    </row>
    <row r="727" spans="1:26" ht="12.75" customHeight="1" x14ac:dyDescent="0.2">
      <c r="A727" s="78"/>
      <c r="B727" s="78"/>
      <c r="C727" s="78"/>
      <c r="D727" s="78"/>
      <c r="E727" s="78"/>
      <c r="F727" s="78"/>
      <c r="G727" s="78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  <c r="Y727" s="78"/>
      <c r="Z727" s="78"/>
    </row>
    <row r="728" spans="1:26" ht="12.75" customHeight="1" x14ac:dyDescent="0.2">
      <c r="A728" s="78"/>
      <c r="B728" s="78"/>
      <c r="C728" s="78"/>
      <c r="D728" s="78"/>
      <c r="E728" s="78"/>
      <c r="F728" s="78"/>
      <c r="G728" s="78"/>
      <c r="H728" s="78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  <c r="Y728" s="78"/>
      <c r="Z728" s="78"/>
    </row>
    <row r="729" spans="1:26" ht="12.75" customHeight="1" x14ac:dyDescent="0.2">
      <c r="A729" s="78"/>
      <c r="B729" s="78"/>
      <c r="C729" s="78"/>
      <c r="D729" s="78"/>
      <c r="E729" s="78"/>
      <c r="F729" s="78"/>
      <c r="G729" s="78"/>
      <c r="H729" s="78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  <c r="Y729" s="78"/>
      <c r="Z729" s="78"/>
    </row>
    <row r="730" spans="1:26" ht="12.75" customHeight="1" x14ac:dyDescent="0.2">
      <c r="A730" s="78"/>
      <c r="B730" s="78"/>
      <c r="C730" s="78"/>
      <c r="D730" s="78"/>
      <c r="E730" s="78"/>
      <c r="F730" s="78"/>
      <c r="G730" s="78"/>
      <c r="H730" s="78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  <c r="Y730" s="78"/>
      <c r="Z730" s="78"/>
    </row>
    <row r="731" spans="1:26" ht="12.75" customHeight="1" x14ac:dyDescent="0.2">
      <c r="A731" s="78"/>
      <c r="B731" s="78"/>
      <c r="C731" s="78"/>
      <c r="D731" s="78"/>
      <c r="E731" s="78"/>
      <c r="F731" s="78"/>
      <c r="G731" s="78"/>
      <c r="H731" s="78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  <c r="Y731" s="78"/>
      <c r="Z731" s="78"/>
    </row>
    <row r="732" spans="1:26" ht="12.75" customHeight="1" x14ac:dyDescent="0.2">
      <c r="A732" s="78"/>
      <c r="B732" s="78"/>
      <c r="C732" s="78"/>
      <c r="D732" s="78"/>
      <c r="E732" s="78"/>
      <c r="F732" s="78"/>
      <c r="G732" s="78"/>
      <c r="H732" s="78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8"/>
      <c r="Z732" s="78"/>
    </row>
    <row r="733" spans="1:26" ht="12.75" customHeight="1" x14ac:dyDescent="0.2">
      <c r="A733" s="78"/>
      <c r="B733" s="78"/>
      <c r="C733" s="78"/>
      <c r="D733" s="78"/>
      <c r="E733" s="78"/>
      <c r="F733" s="78"/>
      <c r="G733" s="78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  <c r="Z733" s="78"/>
    </row>
    <row r="734" spans="1:26" ht="12.75" customHeight="1" x14ac:dyDescent="0.2">
      <c r="A734" s="78"/>
      <c r="B734" s="78"/>
      <c r="C734" s="78"/>
      <c r="D734" s="78"/>
      <c r="E734" s="78"/>
      <c r="F734" s="78"/>
      <c r="G734" s="78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  <c r="Y734" s="78"/>
      <c r="Z734" s="78"/>
    </row>
    <row r="735" spans="1:26" ht="12.75" customHeight="1" x14ac:dyDescent="0.2">
      <c r="A735" s="78"/>
      <c r="B735" s="78"/>
      <c r="C735" s="78"/>
      <c r="D735" s="78"/>
      <c r="E735" s="78"/>
      <c r="F735" s="78"/>
      <c r="G735" s="78"/>
      <c r="H735" s="78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  <c r="Y735" s="78"/>
      <c r="Z735" s="78"/>
    </row>
    <row r="736" spans="1:26" ht="12.75" customHeight="1" x14ac:dyDescent="0.2">
      <c r="A736" s="78"/>
      <c r="B736" s="78"/>
      <c r="C736" s="78"/>
      <c r="D736" s="78"/>
      <c r="E736" s="78"/>
      <c r="F736" s="78"/>
      <c r="G736" s="78"/>
      <c r="H736" s="78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  <c r="Y736" s="78"/>
      <c r="Z736" s="78"/>
    </row>
    <row r="737" spans="1:26" ht="12.75" customHeight="1" x14ac:dyDescent="0.2">
      <c r="A737" s="78"/>
      <c r="B737" s="78"/>
      <c r="C737" s="78"/>
      <c r="D737" s="78"/>
      <c r="E737" s="78"/>
      <c r="F737" s="78"/>
      <c r="G737" s="78"/>
      <c r="H737" s="78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  <c r="Y737" s="78"/>
      <c r="Z737" s="78"/>
    </row>
    <row r="738" spans="1:26" ht="12.75" customHeight="1" x14ac:dyDescent="0.2">
      <c r="A738" s="78"/>
      <c r="B738" s="78"/>
      <c r="C738" s="78"/>
      <c r="D738" s="78"/>
      <c r="E738" s="78"/>
      <c r="F738" s="78"/>
      <c r="G738" s="78"/>
      <c r="H738" s="78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  <c r="Y738" s="78"/>
      <c r="Z738" s="78"/>
    </row>
    <row r="739" spans="1:26" ht="12.75" customHeight="1" x14ac:dyDescent="0.2">
      <c r="A739" s="78"/>
      <c r="B739" s="78"/>
      <c r="C739" s="78"/>
      <c r="D739" s="78"/>
      <c r="E739" s="78"/>
      <c r="F739" s="78"/>
      <c r="G739" s="78"/>
      <c r="H739" s="78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  <c r="Y739" s="78"/>
      <c r="Z739" s="78"/>
    </row>
    <row r="740" spans="1:26" ht="12.75" customHeight="1" x14ac:dyDescent="0.2">
      <c r="A740" s="78"/>
      <c r="B740" s="78"/>
      <c r="C740" s="78"/>
      <c r="D740" s="78"/>
      <c r="E740" s="78"/>
      <c r="F740" s="78"/>
      <c r="G740" s="78"/>
      <c r="H740" s="78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  <c r="Y740" s="78"/>
      <c r="Z740" s="78"/>
    </row>
    <row r="741" spans="1:26" ht="12.75" customHeight="1" x14ac:dyDescent="0.2">
      <c r="A741" s="78"/>
      <c r="B741" s="78"/>
      <c r="C741" s="78"/>
      <c r="D741" s="78"/>
      <c r="E741" s="78"/>
      <c r="F741" s="78"/>
      <c r="G741" s="78"/>
      <c r="H741" s="78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  <c r="Y741" s="78"/>
      <c r="Z741" s="78"/>
    </row>
    <row r="742" spans="1:26" ht="12.75" customHeight="1" x14ac:dyDescent="0.2">
      <c r="A742" s="78"/>
      <c r="B742" s="78"/>
      <c r="C742" s="78"/>
      <c r="D742" s="78"/>
      <c r="E742" s="78"/>
      <c r="F742" s="78"/>
      <c r="G742" s="78"/>
      <c r="H742" s="78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8"/>
      <c r="Z742" s="78"/>
    </row>
    <row r="743" spans="1:26" ht="12.75" customHeight="1" x14ac:dyDescent="0.2">
      <c r="A743" s="78"/>
      <c r="B743" s="78"/>
      <c r="C743" s="78"/>
      <c r="D743" s="78"/>
      <c r="E743" s="78"/>
      <c r="F743" s="78"/>
      <c r="G743" s="78"/>
      <c r="H743" s="78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  <c r="Y743" s="78"/>
      <c r="Z743" s="78"/>
    </row>
    <row r="744" spans="1:26" ht="12.75" customHeight="1" x14ac:dyDescent="0.2">
      <c r="A744" s="78"/>
      <c r="B744" s="78"/>
      <c r="C744" s="78"/>
      <c r="D744" s="78"/>
      <c r="E744" s="78"/>
      <c r="F744" s="78"/>
      <c r="G744" s="78"/>
      <c r="H744" s="78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  <c r="Y744" s="78"/>
      <c r="Z744" s="78"/>
    </row>
    <row r="745" spans="1:26" ht="12.75" customHeight="1" x14ac:dyDescent="0.2">
      <c r="A745" s="78"/>
      <c r="B745" s="78"/>
      <c r="C745" s="78"/>
      <c r="D745" s="78"/>
      <c r="E745" s="78"/>
      <c r="F745" s="78"/>
      <c r="G745" s="78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  <c r="Y745" s="78"/>
      <c r="Z745" s="78"/>
    </row>
    <row r="746" spans="1:26" ht="12.75" customHeight="1" x14ac:dyDescent="0.2">
      <c r="A746" s="78"/>
      <c r="B746" s="78"/>
      <c r="C746" s="78"/>
      <c r="D746" s="78"/>
      <c r="E746" s="78"/>
      <c r="F746" s="78"/>
      <c r="G746" s="78"/>
      <c r="H746" s="78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  <c r="Y746" s="78"/>
      <c r="Z746" s="78"/>
    </row>
    <row r="747" spans="1:26" ht="12.75" customHeight="1" x14ac:dyDescent="0.2">
      <c r="A747" s="78"/>
      <c r="B747" s="78"/>
      <c r="C747" s="78"/>
      <c r="D747" s="78"/>
      <c r="E747" s="78"/>
      <c r="F747" s="78"/>
      <c r="G747" s="78"/>
      <c r="H747" s="78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  <c r="Y747" s="78"/>
      <c r="Z747" s="78"/>
    </row>
    <row r="748" spans="1:26" ht="12.75" customHeight="1" x14ac:dyDescent="0.2">
      <c r="A748" s="78"/>
      <c r="B748" s="78"/>
      <c r="C748" s="78"/>
      <c r="D748" s="78"/>
      <c r="E748" s="78"/>
      <c r="F748" s="78"/>
      <c r="G748" s="78"/>
      <c r="H748" s="78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  <c r="Y748" s="78"/>
      <c r="Z748" s="78"/>
    </row>
    <row r="749" spans="1:26" ht="12.75" customHeight="1" x14ac:dyDescent="0.2">
      <c r="A749" s="78"/>
      <c r="B749" s="78"/>
      <c r="C749" s="78"/>
      <c r="D749" s="78"/>
      <c r="E749" s="78"/>
      <c r="F749" s="78"/>
      <c r="G749" s="78"/>
      <c r="H749" s="78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  <c r="Y749" s="78"/>
      <c r="Z749" s="78"/>
    </row>
    <row r="750" spans="1:26" ht="12.75" customHeight="1" x14ac:dyDescent="0.2">
      <c r="A750" s="78"/>
      <c r="B750" s="78"/>
      <c r="C750" s="78"/>
      <c r="D750" s="78"/>
      <c r="E750" s="78"/>
      <c r="F750" s="78"/>
      <c r="G750" s="78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8"/>
      <c r="Z750" s="78"/>
    </row>
    <row r="751" spans="1:26" ht="12.75" customHeight="1" x14ac:dyDescent="0.2">
      <c r="A751" s="78"/>
      <c r="B751" s="78"/>
      <c r="C751" s="78"/>
      <c r="D751" s="78"/>
      <c r="E751" s="78"/>
      <c r="F751" s="78"/>
      <c r="G751" s="78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8"/>
      <c r="Z751" s="78"/>
    </row>
    <row r="752" spans="1:26" ht="12.75" customHeight="1" x14ac:dyDescent="0.2">
      <c r="A752" s="78"/>
      <c r="B752" s="78"/>
      <c r="C752" s="78"/>
      <c r="D752" s="78"/>
      <c r="E752" s="78"/>
      <c r="F752" s="78"/>
      <c r="G752" s="78"/>
      <c r="H752" s="78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8"/>
      <c r="Z752" s="78"/>
    </row>
    <row r="753" spans="1:26" ht="12.75" customHeight="1" x14ac:dyDescent="0.2">
      <c r="A753" s="78"/>
      <c r="B753" s="78"/>
      <c r="C753" s="78"/>
      <c r="D753" s="78"/>
      <c r="E753" s="78"/>
      <c r="F753" s="78"/>
      <c r="G753" s="78"/>
      <c r="H753" s="78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  <c r="Y753" s="78"/>
      <c r="Z753" s="78"/>
    </row>
    <row r="754" spans="1:26" ht="12.75" customHeight="1" x14ac:dyDescent="0.2">
      <c r="A754" s="78"/>
      <c r="B754" s="78"/>
      <c r="C754" s="78"/>
      <c r="D754" s="78"/>
      <c r="E754" s="78"/>
      <c r="F754" s="78"/>
      <c r="G754" s="78"/>
      <c r="H754" s="78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  <c r="Y754" s="78"/>
      <c r="Z754" s="78"/>
    </row>
    <row r="755" spans="1:26" ht="12.75" customHeight="1" x14ac:dyDescent="0.2">
      <c r="A755" s="78"/>
      <c r="B755" s="78"/>
      <c r="C755" s="78"/>
      <c r="D755" s="78"/>
      <c r="E755" s="78"/>
      <c r="F755" s="78"/>
      <c r="G755" s="78"/>
      <c r="H755" s="78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  <c r="Y755" s="78"/>
      <c r="Z755" s="78"/>
    </row>
    <row r="756" spans="1:26" ht="12.75" customHeight="1" x14ac:dyDescent="0.2">
      <c r="A756" s="78"/>
      <c r="B756" s="78"/>
      <c r="C756" s="78"/>
      <c r="D756" s="78"/>
      <c r="E756" s="78"/>
      <c r="F756" s="78"/>
      <c r="G756" s="78"/>
      <c r="H756" s="78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  <c r="Y756" s="78"/>
      <c r="Z756" s="78"/>
    </row>
    <row r="757" spans="1:26" ht="12.75" customHeight="1" x14ac:dyDescent="0.2">
      <c r="A757" s="78"/>
      <c r="B757" s="78"/>
      <c r="C757" s="78"/>
      <c r="D757" s="78"/>
      <c r="E757" s="78"/>
      <c r="F757" s="78"/>
      <c r="G757" s="78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  <c r="Y757" s="78"/>
      <c r="Z757" s="78"/>
    </row>
    <row r="758" spans="1:26" ht="12.75" customHeight="1" x14ac:dyDescent="0.2">
      <c r="A758" s="78"/>
      <c r="B758" s="78"/>
      <c r="C758" s="78"/>
      <c r="D758" s="78"/>
      <c r="E758" s="78"/>
      <c r="F758" s="78"/>
      <c r="G758" s="78"/>
      <c r="H758" s="78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  <c r="Y758" s="78"/>
      <c r="Z758" s="78"/>
    </row>
    <row r="759" spans="1:26" ht="12.75" customHeight="1" x14ac:dyDescent="0.2">
      <c r="A759" s="78"/>
      <c r="B759" s="78"/>
      <c r="C759" s="78"/>
      <c r="D759" s="78"/>
      <c r="E759" s="78"/>
      <c r="F759" s="78"/>
      <c r="G759" s="78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  <c r="Y759" s="78"/>
      <c r="Z759" s="78"/>
    </row>
    <row r="760" spans="1:26" ht="12.75" customHeight="1" x14ac:dyDescent="0.2">
      <c r="A760" s="78"/>
      <c r="B760" s="78"/>
      <c r="C760" s="78"/>
      <c r="D760" s="78"/>
      <c r="E760" s="78"/>
      <c r="F760" s="78"/>
      <c r="G760" s="78"/>
      <c r="H760" s="78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  <c r="Y760" s="78"/>
      <c r="Z760" s="78"/>
    </row>
    <row r="761" spans="1:26" ht="12.75" customHeight="1" x14ac:dyDescent="0.2">
      <c r="A761" s="78"/>
      <c r="B761" s="78"/>
      <c r="C761" s="78"/>
      <c r="D761" s="78"/>
      <c r="E761" s="78"/>
      <c r="F761" s="78"/>
      <c r="G761" s="78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8"/>
      <c r="Z761" s="78"/>
    </row>
    <row r="762" spans="1:26" ht="12.75" customHeight="1" x14ac:dyDescent="0.2">
      <c r="A762" s="78"/>
      <c r="B762" s="78"/>
      <c r="C762" s="78"/>
      <c r="D762" s="78"/>
      <c r="E762" s="78"/>
      <c r="F762" s="78"/>
      <c r="G762" s="78"/>
      <c r="H762" s="78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8"/>
      <c r="Z762" s="78"/>
    </row>
    <row r="763" spans="1:26" ht="12.75" customHeight="1" x14ac:dyDescent="0.2">
      <c r="A763" s="78"/>
      <c r="B763" s="78"/>
      <c r="C763" s="78"/>
      <c r="D763" s="78"/>
      <c r="E763" s="78"/>
      <c r="F763" s="78"/>
      <c r="G763" s="78"/>
      <c r="H763" s="78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  <c r="Z763" s="78"/>
    </row>
    <row r="764" spans="1:26" ht="12.75" customHeight="1" x14ac:dyDescent="0.2">
      <c r="A764" s="78"/>
      <c r="B764" s="78"/>
      <c r="C764" s="78"/>
      <c r="D764" s="78"/>
      <c r="E764" s="78"/>
      <c r="F764" s="78"/>
      <c r="G764" s="78"/>
      <c r="H764" s="78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  <c r="Y764" s="78"/>
      <c r="Z764" s="78"/>
    </row>
    <row r="765" spans="1:26" ht="12.75" customHeight="1" x14ac:dyDescent="0.2">
      <c r="A765" s="78"/>
      <c r="B765" s="78"/>
      <c r="C765" s="78"/>
      <c r="D765" s="78"/>
      <c r="E765" s="78"/>
      <c r="F765" s="78"/>
      <c r="G765" s="78"/>
      <c r="H765" s="78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  <c r="Y765" s="78"/>
      <c r="Z765" s="78"/>
    </row>
    <row r="766" spans="1:26" ht="12.75" customHeight="1" x14ac:dyDescent="0.2">
      <c r="A766" s="78"/>
      <c r="B766" s="78"/>
      <c r="C766" s="78"/>
      <c r="D766" s="78"/>
      <c r="E766" s="78"/>
      <c r="F766" s="78"/>
      <c r="G766" s="78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  <c r="Y766" s="78"/>
      <c r="Z766" s="78"/>
    </row>
    <row r="767" spans="1:26" ht="12.75" customHeight="1" x14ac:dyDescent="0.2">
      <c r="A767" s="78"/>
      <c r="B767" s="78"/>
      <c r="C767" s="78"/>
      <c r="D767" s="78"/>
      <c r="E767" s="78"/>
      <c r="F767" s="78"/>
      <c r="G767" s="78"/>
      <c r="H767" s="78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  <c r="Y767" s="78"/>
      <c r="Z767" s="78"/>
    </row>
    <row r="768" spans="1:26" ht="12.75" customHeight="1" x14ac:dyDescent="0.2">
      <c r="A768" s="78"/>
      <c r="B768" s="78"/>
      <c r="C768" s="78"/>
      <c r="D768" s="78"/>
      <c r="E768" s="78"/>
      <c r="F768" s="78"/>
      <c r="G768" s="78"/>
      <c r="H768" s="78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  <c r="Y768" s="78"/>
      <c r="Z768" s="78"/>
    </row>
    <row r="769" spans="1:26" ht="12.75" customHeight="1" x14ac:dyDescent="0.2">
      <c r="A769" s="78"/>
      <c r="B769" s="78"/>
      <c r="C769" s="78"/>
      <c r="D769" s="78"/>
      <c r="E769" s="78"/>
      <c r="F769" s="78"/>
      <c r="G769" s="78"/>
      <c r="H769" s="78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  <c r="Y769" s="78"/>
      <c r="Z769" s="78"/>
    </row>
    <row r="770" spans="1:26" ht="12.75" customHeight="1" x14ac:dyDescent="0.2">
      <c r="A770" s="78"/>
      <c r="B770" s="78"/>
      <c r="C770" s="78"/>
      <c r="D770" s="78"/>
      <c r="E770" s="78"/>
      <c r="F770" s="78"/>
      <c r="G770" s="78"/>
      <c r="H770" s="78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  <c r="Y770" s="78"/>
      <c r="Z770" s="78"/>
    </row>
    <row r="771" spans="1:26" ht="12.75" customHeight="1" x14ac:dyDescent="0.2">
      <c r="A771" s="78"/>
      <c r="B771" s="78"/>
      <c r="C771" s="78"/>
      <c r="D771" s="78"/>
      <c r="E771" s="78"/>
      <c r="F771" s="78"/>
      <c r="G771" s="78"/>
      <c r="H771" s="78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  <c r="Y771" s="78"/>
      <c r="Z771" s="78"/>
    </row>
    <row r="772" spans="1:26" ht="12.75" customHeight="1" x14ac:dyDescent="0.2">
      <c r="A772" s="78"/>
      <c r="B772" s="78"/>
      <c r="C772" s="78"/>
      <c r="D772" s="78"/>
      <c r="E772" s="78"/>
      <c r="F772" s="78"/>
      <c r="G772" s="78"/>
      <c r="H772" s="78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8"/>
      <c r="Z772" s="78"/>
    </row>
    <row r="773" spans="1:26" ht="12.75" customHeight="1" x14ac:dyDescent="0.2">
      <c r="A773" s="78"/>
      <c r="B773" s="78"/>
      <c r="C773" s="78"/>
      <c r="D773" s="78"/>
      <c r="E773" s="78"/>
      <c r="F773" s="78"/>
      <c r="G773" s="78"/>
      <c r="H773" s="78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  <c r="Y773" s="78"/>
      <c r="Z773" s="78"/>
    </row>
    <row r="774" spans="1:26" ht="12.75" customHeight="1" x14ac:dyDescent="0.2">
      <c r="A774" s="78"/>
      <c r="B774" s="78"/>
      <c r="C774" s="78"/>
      <c r="D774" s="78"/>
      <c r="E774" s="78"/>
      <c r="F774" s="78"/>
      <c r="G774" s="78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  <c r="Z774" s="78"/>
    </row>
    <row r="775" spans="1:26" ht="12.75" customHeight="1" x14ac:dyDescent="0.2">
      <c r="A775" s="78"/>
      <c r="B775" s="78"/>
      <c r="C775" s="78"/>
      <c r="D775" s="78"/>
      <c r="E775" s="78"/>
      <c r="F775" s="78"/>
      <c r="G775" s="78"/>
      <c r="H775" s="78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  <c r="Y775" s="78"/>
      <c r="Z775" s="78"/>
    </row>
    <row r="776" spans="1:26" ht="12.75" customHeight="1" x14ac:dyDescent="0.2">
      <c r="A776" s="78"/>
      <c r="B776" s="78"/>
      <c r="C776" s="78"/>
      <c r="D776" s="78"/>
      <c r="E776" s="78"/>
      <c r="F776" s="78"/>
      <c r="G776" s="78"/>
      <c r="H776" s="78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  <c r="Y776" s="78"/>
      <c r="Z776" s="78"/>
    </row>
    <row r="777" spans="1:26" ht="12.75" customHeight="1" x14ac:dyDescent="0.2">
      <c r="A777" s="78"/>
      <c r="B777" s="78"/>
      <c r="C777" s="78"/>
      <c r="D777" s="78"/>
      <c r="E777" s="78"/>
      <c r="F777" s="78"/>
      <c r="G777" s="78"/>
      <c r="H777" s="78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  <c r="Y777" s="78"/>
      <c r="Z777" s="78"/>
    </row>
    <row r="778" spans="1:26" ht="12.75" customHeight="1" x14ac:dyDescent="0.2">
      <c r="A778" s="78"/>
      <c r="B778" s="78"/>
      <c r="C778" s="78"/>
      <c r="D778" s="78"/>
      <c r="E778" s="78"/>
      <c r="F778" s="78"/>
      <c r="G778" s="78"/>
      <c r="H778" s="78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  <c r="Y778" s="78"/>
      <c r="Z778" s="78"/>
    </row>
    <row r="779" spans="1:26" ht="12.75" customHeight="1" x14ac:dyDescent="0.2">
      <c r="A779" s="78"/>
      <c r="B779" s="78"/>
      <c r="C779" s="78"/>
      <c r="D779" s="78"/>
      <c r="E779" s="78"/>
      <c r="F779" s="78"/>
      <c r="G779" s="78"/>
      <c r="H779" s="78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  <c r="Y779" s="78"/>
      <c r="Z779" s="78"/>
    </row>
    <row r="780" spans="1:26" ht="12.75" customHeight="1" x14ac:dyDescent="0.2">
      <c r="A780" s="78"/>
      <c r="B780" s="78"/>
      <c r="C780" s="78"/>
      <c r="D780" s="78"/>
      <c r="E780" s="78"/>
      <c r="F780" s="78"/>
      <c r="G780" s="78"/>
      <c r="H780" s="78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  <c r="Y780" s="78"/>
      <c r="Z780" s="78"/>
    </row>
    <row r="781" spans="1:26" ht="12.75" customHeight="1" x14ac:dyDescent="0.2">
      <c r="A781" s="78"/>
      <c r="B781" s="78"/>
      <c r="C781" s="78"/>
      <c r="D781" s="78"/>
      <c r="E781" s="78"/>
      <c r="F781" s="78"/>
      <c r="G781" s="78"/>
      <c r="H781" s="78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  <c r="Y781" s="78"/>
      <c r="Z781" s="78"/>
    </row>
    <row r="782" spans="1:26" ht="12.75" customHeight="1" x14ac:dyDescent="0.2">
      <c r="A782" s="78"/>
      <c r="B782" s="78"/>
      <c r="C782" s="78"/>
      <c r="D782" s="78"/>
      <c r="E782" s="78"/>
      <c r="F782" s="78"/>
      <c r="G782" s="78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  <c r="Z782" s="78"/>
    </row>
    <row r="783" spans="1:26" ht="12.75" customHeight="1" x14ac:dyDescent="0.2">
      <c r="A783" s="78"/>
      <c r="B783" s="78"/>
      <c r="C783" s="78"/>
      <c r="D783" s="78"/>
      <c r="E783" s="78"/>
      <c r="F783" s="78"/>
      <c r="G783" s="78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  <c r="Y783" s="78"/>
      <c r="Z783" s="78"/>
    </row>
    <row r="784" spans="1:26" ht="12.75" customHeight="1" x14ac:dyDescent="0.2">
      <c r="A784" s="78"/>
      <c r="B784" s="78"/>
      <c r="C784" s="78"/>
      <c r="D784" s="78"/>
      <c r="E784" s="78"/>
      <c r="F784" s="78"/>
      <c r="G784" s="78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8"/>
      <c r="Z784" s="78"/>
    </row>
    <row r="785" spans="1:26" ht="12.75" customHeight="1" x14ac:dyDescent="0.2">
      <c r="A785" s="78"/>
      <c r="B785" s="78"/>
      <c r="C785" s="78"/>
      <c r="D785" s="78"/>
      <c r="E785" s="78"/>
      <c r="F785" s="78"/>
      <c r="G785" s="78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8"/>
      <c r="Z785" s="78"/>
    </row>
    <row r="786" spans="1:26" ht="12.75" customHeight="1" x14ac:dyDescent="0.2">
      <c r="A786" s="78"/>
      <c r="B786" s="78"/>
      <c r="C786" s="78"/>
      <c r="D786" s="78"/>
      <c r="E786" s="78"/>
      <c r="F786" s="78"/>
      <c r="G786" s="78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8"/>
      <c r="Z786" s="78"/>
    </row>
    <row r="787" spans="1:26" ht="12.75" customHeight="1" x14ac:dyDescent="0.2">
      <c r="A787" s="78"/>
      <c r="B787" s="78"/>
      <c r="C787" s="78"/>
      <c r="D787" s="78"/>
      <c r="E787" s="78"/>
      <c r="F787" s="78"/>
      <c r="G787" s="78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8"/>
      <c r="Z787" s="78"/>
    </row>
    <row r="788" spans="1:26" ht="12.75" customHeight="1" x14ac:dyDescent="0.2">
      <c r="A788" s="78"/>
      <c r="B788" s="78"/>
      <c r="C788" s="78"/>
      <c r="D788" s="78"/>
      <c r="E788" s="78"/>
      <c r="F788" s="78"/>
      <c r="G788" s="78"/>
      <c r="H788" s="78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8"/>
      <c r="Z788" s="78"/>
    </row>
    <row r="789" spans="1:26" ht="12.75" customHeight="1" x14ac:dyDescent="0.2">
      <c r="A789" s="78"/>
      <c r="B789" s="78"/>
      <c r="C789" s="78"/>
      <c r="D789" s="78"/>
      <c r="E789" s="78"/>
      <c r="F789" s="78"/>
      <c r="G789" s="78"/>
      <c r="H789" s="78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8"/>
      <c r="Z789" s="78"/>
    </row>
    <row r="790" spans="1:26" ht="12.75" customHeight="1" x14ac:dyDescent="0.2">
      <c r="A790" s="78"/>
      <c r="B790" s="78"/>
      <c r="C790" s="78"/>
      <c r="D790" s="78"/>
      <c r="E790" s="78"/>
      <c r="F790" s="78"/>
      <c r="G790" s="78"/>
      <c r="H790" s="78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  <c r="Z790" s="78"/>
    </row>
    <row r="791" spans="1:26" ht="12.75" customHeight="1" x14ac:dyDescent="0.2">
      <c r="A791" s="78"/>
      <c r="B791" s="78"/>
      <c r="C791" s="78"/>
      <c r="D791" s="78"/>
      <c r="E791" s="78"/>
      <c r="F791" s="78"/>
      <c r="G791" s="78"/>
      <c r="H791" s="78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  <c r="Y791" s="78"/>
      <c r="Z791" s="78"/>
    </row>
    <row r="792" spans="1:26" ht="12.75" customHeight="1" x14ac:dyDescent="0.2">
      <c r="A792" s="78"/>
      <c r="B792" s="78"/>
      <c r="C792" s="78"/>
      <c r="D792" s="78"/>
      <c r="E792" s="78"/>
      <c r="F792" s="78"/>
      <c r="G792" s="78"/>
      <c r="H792" s="78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8"/>
      <c r="Z792" s="78"/>
    </row>
    <row r="793" spans="1:26" ht="12.75" customHeight="1" x14ac:dyDescent="0.2">
      <c r="A793" s="78"/>
      <c r="B793" s="78"/>
      <c r="C793" s="78"/>
      <c r="D793" s="78"/>
      <c r="E793" s="78"/>
      <c r="F793" s="78"/>
      <c r="G793" s="78"/>
      <c r="H793" s="78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  <c r="Y793" s="78"/>
      <c r="Z793" s="78"/>
    </row>
    <row r="794" spans="1:26" ht="12.75" customHeight="1" x14ac:dyDescent="0.2">
      <c r="A794" s="78"/>
      <c r="B794" s="78"/>
      <c r="C794" s="78"/>
      <c r="D794" s="78"/>
      <c r="E794" s="78"/>
      <c r="F794" s="78"/>
      <c r="G794" s="78"/>
      <c r="H794" s="78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  <c r="Y794" s="78"/>
      <c r="Z794" s="78"/>
    </row>
    <row r="795" spans="1:26" ht="12.75" customHeight="1" x14ac:dyDescent="0.2">
      <c r="A795" s="78"/>
      <c r="B795" s="78"/>
      <c r="C795" s="78"/>
      <c r="D795" s="78"/>
      <c r="E795" s="78"/>
      <c r="F795" s="78"/>
      <c r="G795" s="78"/>
      <c r="H795" s="78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  <c r="Y795" s="78"/>
      <c r="Z795" s="78"/>
    </row>
    <row r="796" spans="1:26" ht="12.75" customHeight="1" x14ac:dyDescent="0.2">
      <c r="A796" s="78"/>
      <c r="B796" s="78"/>
      <c r="C796" s="78"/>
      <c r="D796" s="78"/>
      <c r="E796" s="78"/>
      <c r="F796" s="78"/>
      <c r="G796" s="78"/>
      <c r="H796" s="78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  <c r="Y796" s="78"/>
      <c r="Z796" s="78"/>
    </row>
    <row r="797" spans="1:26" ht="12.75" customHeight="1" x14ac:dyDescent="0.2">
      <c r="A797" s="78"/>
      <c r="B797" s="78"/>
      <c r="C797" s="78"/>
      <c r="D797" s="78"/>
      <c r="E797" s="78"/>
      <c r="F797" s="78"/>
      <c r="G797" s="78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  <c r="Z797" s="78"/>
    </row>
    <row r="798" spans="1:26" ht="12.75" customHeight="1" x14ac:dyDescent="0.2">
      <c r="A798" s="78"/>
      <c r="B798" s="78"/>
      <c r="C798" s="78"/>
      <c r="D798" s="78"/>
      <c r="E798" s="78"/>
      <c r="F798" s="78"/>
      <c r="G798" s="78"/>
      <c r="H798" s="78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  <c r="Y798" s="78"/>
      <c r="Z798" s="78"/>
    </row>
    <row r="799" spans="1:26" ht="12.75" customHeight="1" x14ac:dyDescent="0.2">
      <c r="A799" s="78"/>
      <c r="B799" s="78"/>
      <c r="C799" s="78"/>
      <c r="D799" s="78"/>
      <c r="E799" s="78"/>
      <c r="F799" s="78"/>
      <c r="G799" s="78"/>
      <c r="H799" s="78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  <c r="Y799" s="78"/>
      <c r="Z799" s="78"/>
    </row>
    <row r="800" spans="1:26" ht="12.75" customHeight="1" x14ac:dyDescent="0.2">
      <c r="A800" s="78"/>
      <c r="B800" s="78"/>
      <c r="C800" s="78"/>
      <c r="D800" s="78"/>
      <c r="E800" s="78"/>
      <c r="F800" s="78"/>
      <c r="G800" s="78"/>
      <c r="H800" s="78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  <c r="Y800" s="78"/>
      <c r="Z800" s="78"/>
    </row>
    <row r="801" spans="1:26" ht="12.75" customHeight="1" x14ac:dyDescent="0.2">
      <c r="A801" s="78"/>
      <c r="B801" s="78"/>
      <c r="C801" s="78"/>
      <c r="D801" s="78"/>
      <c r="E801" s="78"/>
      <c r="F801" s="78"/>
      <c r="G801" s="78"/>
      <c r="H801" s="78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  <c r="Y801" s="78"/>
      <c r="Z801" s="78"/>
    </row>
    <row r="802" spans="1:26" ht="12.75" customHeight="1" x14ac:dyDescent="0.2">
      <c r="A802" s="78"/>
      <c r="B802" s="78"/>
      <c r="C802" s="78"/>
      <c r="D802" s="78"/>
      <c r="E802" s="78"/>
      <c r="F802" s="78"/>
      <c r="G802" s="78"/>
      <c r="H802" s="78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8"/>
      <c r="Z802" s="78"/>
    </row>
    <row r="803" spans="1:26" ht="12.75" customHeight="1" x14ac:dyDescent="0.2">
      <c r="A803" s="78"/>
      <c r="B803" s="78"/>
      <c r="C803" s="78"/>
      <c r="D803" s="78"/>
      <c r="E803" s="78"/>
      <c r="F803" s="78"/>
      <c r="G803" s="78"/>
      <c r="H803" s="78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  <c r="Z803" s="78"/>
    </row>
    <row r="804" spans="1:26" ht="12.75" customHeight="1" x14ac:dyDescent="0.2">
      <c r="A804" s="78"/>
      <c r="B804" s="78"/>
      <c r="C804" s="78"/>
      <c r="D804" s="78"/>
      <c r="E804" s="78"/>
      <c r="F804" s="78"/>
      <c r="G804" s="78"/>
      <c r="H804" s="78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  <c r="Y804" s="78"/>
      <c r="Z804" s="78"/>
    </row>
    <row r="805" spans="1:26" ht="12.75" customHeight="1" x14ac:dyDescent="0.2">
      <c r="A805" s="78"/>
      <c r="B805" s="78"/>
      <c r="C805" s="78"/>
      <c r="D805" s="78"/>
      <c r="E805" s="78"/>
      <c r="F805" s="78"/>
      <c r="G805" s="78"/>
      <c r="H805" s="78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  <c r="Y805" s="78"/>
      <c r="Z805" s="78"/>
    </row>
    <row r="806" spans="1:26" ht="12.75" customHeight="1" x14ac:dyDescent="0.2">
      <c r="A806" s="78"/>
      <c r="B806" s="78"/>
      <c r="C806" s="78"/>
      <c r="D806" s="78"/>
      <c r="E806" s="78"/>
      <c r="F806" s="78"/>
      <c r="G806" s="78"/>
      <c r="H806" s="78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  <c r="Y806" s="78"/>
      <c r="Z806" s="78"/>
    </row>
    <row r="807" spans="1:26" ht="12.75" customHeight="1" x14ac:dyDescent="0.2">
      <c r="A807" s="78"/>
      <c r="B807" s="78"/>
      <c r="C807" s="78"/>
      <c r="D807" s="78"/>
      <c r="E807" s="78"/>
      <c r="F807" s="78"/>
      <c r="G807" s="78"/>
      <c r="H807" s="78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  <c r="Y807" s="78"/>
      <c r="Z807" s="78"/>
    </row>
    <row r="808" spans="1:26" ht="12.75" customHeight="1" x14ac:dyDescent="0.2">
      <c r="A808" s="78"/>
      <c r="B808" s="78"/>
      <c r="C808" s="78"/>
      <c r="D808" s="78"/>
      <c r="E808" s="78"/>
      <c r="F808" s="78"/>
      <c r="G808" s="78"/>
      <c r="H808" s="78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  <c r="Y808" s="78"/>
      <c r="Z808" s="78"/>
    </row>
    <row r="809" spans="1:26" ht="12.75" customHeight="1" x14ac:dyDescent="0.2">
      <c r="A809" s="78"/>
      <c r="B809" s="78"/>
      <c r="C809" s="78"/>
      <c r="D809" s="78"/>
      <c r="E809" s="78"/>
      <c r="F809" s="78"/>
      <c r="G809" s="78"/>
      <c r="H809" s="78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  <c r="Y809" s="78"/>
      <c r="Z809" s="78"/>
    </row>
    <row r="810" spans="1:26" ht="12.75" customHeight="1" x14ac:dyDescent="0.2">
      <c r="A810" s="78"/>
      <c r="B810" s="78"/>
      <c r="C810" s="78"/>
      <c r="D810" s="78"/>
      <c r="E810" s="78"/>
      <c r="F810" s="78"/>
      <c r="G810" s="78"/>
      <c r="H810" s="78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  <c r="Y810" s="78"/>
      <c r="Z810" s="78"/>
    </row>
    <row r="811" spans="1:26" ht="12.75" customHeight="1" x14ac:dyDescent="0.2">
      <c r="A811" s="78"/>
      <c r="B811" s="78"/>
      <c r="C811" s="78"/>
      <c r="D811" s="78"/>
      <c r="E811" s="78"/>
      <c r="F811" s="78"/>
      <c r="G811" s="78"/>
      <c r="H811" s="78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  <c r="Y811" s="78"/>
      <c r="Z811" s="78"/>
    </row>
    <row r="812" spans="1:26" ht="12.75" customHeight="1" x14ac:dyDescent="0.2">
      <c r="A812" s="78"/>
      <c r="B812" s="78"/>
      <c r="C812" s="78"/>
      <c r="D812" s="78"/>
      <c r="E812" s="78"/>
      <c r="F812" s="78"/>
      <c r="G812" s="78"/>
      <c r="H812" s="78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  <c r="Y812" s="78"/>
      <c r="Z812" s="78"/>
    </row>
    <row r="813" spans="1:26" ht="12.75" customHeight="1" x14ac:dyDescent="0.2">
      <c r="A813" s="78"/>
      <c r="B813" s="78"/>
      <c r="C813" s="78"/>
      <c r="D813" s="78"/>
      <c r="E813" s="78"/>
      <c r="F813" s="78"/>
      <c r="G813" s="78"/>
      <c r="H813" s="78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  <c r="Y813" s="78"/>
      <c r="Z813" s="78"/>
    </row>
    <row r="814" spans="1:26" ht="12.75" customHeight="1" x14ac:dyDescent="0.2">
      <c r="A814" s="78"/>
      <c r="B814" s="78"/>
      <c r="C814" s="78"/>
      <c r="D814" s="78"/>
      <c r="E814" s="78"/>
      <c r="F814" s="78"/>
      <c r="G814" s="78"/>
      <c r="H814" s="78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  <c r="Y814" s="78"/>
      <c r="Z814" s="78"/>
    </row>
    <row r="815" spans="1:26" ht="12.75" customHeight="1" x14ac:dyDescent="0.2">
      <c r="A815" s="78"/>
      <c r="B815" s="78"/>
      <c r="C815" s="78"/>
      <c r="D815" s="78"/>
      <c r="E815" s="78"/>
      <c r="F815" s="78"/>
      <c r="G815" s="78"/>
      <c r="H815" s="78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  <c r="Y815" s="78"/>
      <c r="Z815" s="78"/>
    </row>
    <row r="816" spans="1:26" ht="12.75" customHeight="1" x14ac:dyDescent="0.2">
      <c r="A816" s="78"/>
      <c r="B816" s="78"/>
      <c r="C816" s="78"/>
      <c r="D816" s="78"/>
      <c r="E816" s="78"/>
      <c r="F816" s="78"/>
      <c r="G816" s="78"/>
      <c r="H816" s="78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  <c r="Y816" s="78"/>
      <c r="Z816" s="78"/>
    </row>
    <row r="817" spans="1:26" ht="12.75" customHeight="1" x14ac:dyDescent="0.2">
      <c r="A817" s="78"/>
      <c r="B817" s="78"/>
      <c r="C817" s="78"/>
      <c r="D817" s="78"/>
      <c r="E817" s="78"/>
      <c r="F817" s="78"/>
      <c r="G817" s="78"/>
      <c r="H817" s="78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  <c r="Y817" s="78"/>
      <c r="Z817" s="78"/>
    </row>
    <row r="818" spans="1:26" ht="12.75" customHeight="1" x14ac:dyDescent="0.2">
      <c r="A818" s="78"/>
      <c r="B818" s="78"/>
      <c r="C818" s="78"/>
      <c r="D818" s="78"/>
      <c r="E818" s="78"/>
      <c r="F818" s="78"/>
      <c r="G818" s="78"/>
      <c r="H818" s="78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  <c r="Y818" s="78"/>
      <c r="Z818" s="78"/>
    </row>
    <row r="819" spans="1:26" ht="12.75" customHeight="1" x14ac:dyDescent="0.2">
      <c r="A819" s="78"/>
      <c r="B819" s="78"/>
      <c r="C819" s="78"/>
      <c r="D819" s="78"/>
      <c r="E819" s="78"/>
      <c r="F819" s="78"/>
      <c r="G819" s="78"/>
      <c r="H819" s="78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  <c r="Y819" s="78"/>
      <c r="Z819" s="78"/>
    </row>
    <row r="820" spans="1:26" ht="12.75" customHeight="1" x14ac:dyDescent="0.2">
      <c r="A820" s="78"/>
      <c r="B820" s="78"/>
      <c r="C820" s="78"/>
      <c r="D820" s="78"/>
      <c r="E820" s="78"/>
      <c r="F820" s="78"/>
      <c r="G820" s="78"/>
      <c r="H820" s="78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  <c r="Y820" s="78"/>
      <c r="Z820" s="78"/>
    </row>
    <row r="821" spans="1:26" ht="12.75" customHeight="1" x14ac:dyDescent="0.2">
      <c r="A821" s="78"/>
      <c r="B821" s="78"/>
      <c r="C821" s="78"/>
      <c r="D821" s="78"/>
      <c r="E821" s="78"/>
      <c r="F821" s="78"/>
      <c r="G821" s="78"/>
      <c r="H821" s="78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  <c r="Y821" s="78"/>
      <c r="Z821" s="78"/>
    </row>
    <row r="822" spans="1:26" ht="12.75" customHeight="1" x14ac:dyDescent="0.2">
      <c r="A822" s="78"/>
      <c r="B822" s="78"/>
      <c r="C822" s="78"/>
      <c r="D822" s="78"/>
      <c r="E822" s="78"/>
      <c r="F822" s="78"/>
      <c r="G822" s="78"/>
      <c r="H822" s="78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  <c r="Y822" s="78"/>
      <c r="Z822" s="78"/>
    </row>
    <row r="823" spans="1:26" ht="12.75" customHeight="1" x14ac:dyDescent="0.2">
      <c r="A823" s="78"/>
      <c r="B823" s="78"/>
      <c r="C823" s="78"/>
      <c r="D823" s="78"/>
      <c r="E823" s="78"/>
      <c r="F823" s="78"/>
      <c r="G823" s="78"/>
      <c r="H823" s="78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  <c r="Y823" s="78"/>
      <c r="Z823" s="78"/>
    </row>
    <row r="824" spans="1:26" ht="12.75" customHeight="1" x14ac:dyDescent="0.2">
      <c r="A824" s="78"/>
      <c r="B824" s="78"/>
      <c r="C824" s="78"/>
      <c r="D824" s="78"/>
      <c r="E824" s="78"/>
      <c r="F824" s="78"/>
      <c r="G824" s="78"/>
      <c r="H824" s="78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  <c r="Y824" s="78"/>
      <c r="Z824" s="78"/>
    </row>
    <row r="825" spans="1:26" ht="12.75" customHeight="1" x14ac:dyDescent="0.2">
      <c r="A825" s="78"/>
      <c r="B825" s="78"/>
      <c r="C825" s="78"/>
      <c r="D825" s="78"/>
      <c r="E825" s="78"/>
      <c r="F825" s="78"/>
      <c r="G825" s="78"/>
      <c r="H825" s="78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  <c r="Y825" s="78"/>
      <c r="Z825" s="78"/>
    </row>
    <row r="826" spans="1:26" ht="12.75" customHeight="1" x14ac:dyDescent="0.2">
      <c r="A826" s="78"/>
      <c r="B826" s="78"/>
      <c r="C826" s="78"/>
      <c r="D826" s="78"/>
      <c r="E826" s="78"/>
      <c r="F826" s="78"/>
      <c r="G826" s="78"/>
      <c r="H826" s="78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  <c r="Y826" s="78"/>
      <c r="Z826" s="78"/>
    </row>
    <row r="827" spans="1:26" ht="12.75" customHeight="1" x14ac:dyDescent="0.2">
      <c r="A827" s="78"/>
      <c r="B827" s="78"/>
      <c r="C827" s="78"/>
      <c r="D827" s="78"/>
      <c r="E827" s="78"/>
      <c r="F827" s="78"/>
      <c r="G827" s="78"/>
      <c r="H827" s="78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  <c r="Y827" s="78"/>
      <c r="Z827" s="78"/>
    </row>
    <row r="828" spans="1:26" ht="12.75" customHeight="1" x14ac:dyDescent="0.2">
      <c r="A828" s="78"/>
      <c r="B828" s="78"/>
      <c r="C828" s="78"/>
      <c r="D828" s="78"/>
      <c r="E828" s="78"/>
      <c r="F828" s="78"/>
      <c r="G828" s="78"/>
      <c r="H828" s="78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  <c r="Y828" s="78"/>
      <c r="Z828" s="78"/>
    </row>
    <row r="829" spans="1:26" ht="12.75" customHeight="1" x14ac:dyDescent="0.2">
      <c r="A829" s="78"/>
      <c r="B829" s="78"/>
      <c r="C829" s="78"/>
      <c r="D829" s="78"/>
      <c r="E829" s="78"/>
      <c r="F829" s="78"/>
      <c r="G829" s="78"/>
      <c r="H829" s="78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  <c r="Y829" s="78"/>
      <c r="Z829" s="78"/>
    </row>
    <row r="830" spans="1:26" ht="12.75" customHeight="1" x14ac:dyDescent="0.2">
      <c r="A830" s="78"/>
      <c r="B830" s="78"/>
      <c r="C830" s="78"/>
      <c r="D830" s="78"/>
      <c r="E830" s="78"/>
      <c r="F830" s="78"/>
      <c r="G830" s="78"/>
      <c r="H830" s="78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  <c r="Y830" s="78"/>
      <c r="Z830" s="78"/>
    </row>
    <row r="831" spans="1:26" ht="12.75" customHeight="1" x14ac:dyDescent="0.2">
      <c r="A831" s="78"/>
      <c r="B831" s="78"/>
      <c r="C831" s="78"/>
      <c r="D831" s="78"/>
      <c r="E831" s="78"/>
      <c r="F831" s="78"/>
      <c r="G831" s="78"/>
      <c r="H831" s="78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  <c r="Y831" s="78"/>
      <c r="Z831" s="78"/>
    </row>
    <row r="832" spans="1:26" ht="12.75" customHeight="1" x14ac:dyDescent="0.2">
      <c r="A832" s="78"/>
      <c r="B832" s="78"/>
      <c r="C832" s="78"/>
      <c r="D832" s="78"/>
      <c r="E832" s="78"/>
      <c r="F832" s="78"/>
      <c r="G832" s="78"/>
      <c r="H832" s="78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  <c r="Y832" s="78"/>
      <c r="Z832" s="78"/>
    </row>
    <row r="833" spans="1:26" ht="12.75" customHeight="1" x14ac:dyDescent="0.2">
      <c r="A833" s="78"/>
      <c r="B833" s="78"/>
      <c r="C833" s="78"/>
      <c r="D833" s="78"/>
      <c r="E833" s="78"/>
      <c r="F833" s="78"/>
      <c r="G833" s="78"/>
      <c r="H833" s="78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  <c r="Y833" s="78"/>
      <c r="Z833" s="78"/>
    </row>
    <row r="834" spans="1:26" ht="12.75" customHeight="1" x14ac:dyDescent="0.2">
      <c r="A834" s="78"/>
      <c r="B834" s="78"/>
      <c r="C834" s="78"/>
      <c r="D834" s="78"/>
      <c r="E834" s="78"/>
      <c r="F834" s="78"/>
      <c r="G834" s="78"/>
      <c r="H834" s="78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8"/>
      <c r="Z834" s="78"/>
    </row>
    <row r="835" spans="1:26" ht="12.75" customHeight="1" x14ac:dyDescent="0.2">
      <c r="A835" s="78"/>
      <c r="B835" s="78"/>
      <c r="C835" s="78"/>
      <c r="D835" s="78"/>
      <c r="E835" s="78"/>
      <c r="F835" s="78"/>
      <c r="G835" s="78"/>
      <c r="H835" s="78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  <c r="Y835" s="78"/>
      <c r="Z835" s="78"/>
    </row>
    <row r="836" spans="1:26" ht="12.75" customHeight="1" x14ac:dyDescent="0.2">
      <c r="A836" s="78"/>
      <c r="B836" s="78"/>
      <c r="C836" s="78"/>
      <c r="D836" s="78"/>
      <c r="E836" s="78"/>
      <c r="F836" s="78"/>
      <c r="G836" s="78"/>
      <c r="H836" s="78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  <c r="Y836" s="78"/>
      <c r="Z836" s="78"/>
    </row>
    <row r="837" spans="1:26" ht="12.75" customHeight="1" x14ac:dyDescent="0.2">
      <c r="A837" s="78"/>
      <c r="B837" s="78"/>
      <c r="C837" s="78"/>
      <c r="D837" s="78"/>
      <c r="E837" s="78"/>
      <c r="F837" s="78"/>
      <c r="G837" s="78"/>
      <c r="H837" s="78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  <c r="Y837" s="78"/>
      <c r="Z837" s="78"/>
    </row>
    <row r="838" spans="1:26" ht="12.75" customHeight="1" x14ac:dyDescent="0.2">
      <c r="A838" s="78"/>
      <c r="B838" s="78"/>
      <c r="C838" s="78"/>
      <c r="D838" s="78"/>
      <c r="E838" s="78"/>
      <c r="F838" s="78"/>
      <c r="G838" s="78"/>
      <c r="H838" s="78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8"/>
      <c r="Z838" s="78"/>
    </row>
    <row r="839" spans="1:26" ht="12.75" customHeight="1" x14ac:dyDescent="0.2">
      <c r="A839" s="78"/>
      <c r="B839" s="78"/>
      <c r="C839" s="78"/>
      <c r="D839" s="78"/>
      <c r="E839" s="78"/>
      <c r="F839" s="78"/>
      <c r="G839" s="78"/>
      <c r="H839" s="78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  <c r="Y839" s="78"/>
      <c r="Z839" s="78"/>
    </row>
    <row r="840" spans="1:26" ht="12.75" customHeight="1" x14ac:dyDescent="0.2">
      <c r="A840" s="78"/>
      <c r="B840" s="78"/>
      <c r="C840" s="78"/>
      <c r="D840" s="78"/>
      <c r="E840" s="78"/>
      <c r="F840" s="78"/>
      <c r="G840" s="78"/>
      <c r="H840" s="78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  <c r="X840" s="78"/>
      <c r="Y840" s="78"/>
      <c r="Z840" s="78"/>
    </row>
    <row r="841" spans="1:26" ht="12.75" customHeight="1" x14ac:dyDescent="0.2">
      <c r="A841" s="78"/>
      <c r="B841" s="78"/>
      <c r="C841" s="78"/>
      <c r="D841" s="78"/>
      <c r="E841" s="78"/>
      <c r="F841" s="78"/>
      <c r="G841" s="78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  <c r="Z841" s="78"/>
    </row>
    <row r="842" spans="1:26" ht="12.75" customHeight="1" x14ac:dyDescent="0.2">
      <c r="A842" s="78"/>
      <c r="B842" s="78"/>
      <c r="C842" s="78"/>
      <c r="D842" s="78"/>
      <c r="E842" s="78"/>
      <c r="F842" s="78"/>
      <c r="G842" s="78"/>
      <c r="H842" s="78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8"/>
      <c r="Z842" s="78"/>
    </row>
    <row r="843" spans="1:26" ht="12.75" customHeight="1" x14ac:dyDescent="0.2">
      <c r="A843" s="78"/>
      <c r="B843" s="78"/>
      <c r="C843" s="78"/>
      <c r="D843" s="78"/>
      <c r="E843" s="78"/>
      <c r="F843" s="78"/>
      <c r="G843" s="78"/>
      <c r="H843" s="78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  <c r="Z843" s="78"/>
    </row>
    <row r="844" spans="1:26" ht="12.75" customHeight="1" x14ac:dyDescent="0.2">
      <c r="A844" s="78"/>
      <c r="B844" s="78"/>
      <c r="C844" s="78"/>
      <c r="D844" s="78"/>
      <c r="E844" s="78"/>
      <c r="F844" s="78"/>
      <c r="G844" s="78"/>
      <c r="H844" s="78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  <c r="Y844" s="78"/>
      <c r="Z844" s="78"/>
    </row>
    <row r="845" spans="1:26" ht="12.75" customHeight="1" x14ac:dyDescent="0.2">
      <c r="A845" s="78"/>
      <c r="B845" s="78"/>
      <c r="C845" s="78"/>
      <c r="D845" s="78"/>
      <c r="E845" s="78"/>
      <c r="F845" s="78"/>
      <c r="G845" s="78"/>
      <c r="H845" s="78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  <c r="Y845" s="78"/>
      <c r="Z845" s="78"/>
    </row>
    <row r="846" spans="1:26" ht="12.75" customHeight="1" x14ac:dyDescent="0.2">
      <c r="A846" s="78"/>
      <c r="B846" s="78"/>
      <c r="C846" s="78"/>
      <c r="D846" s="78"/>
      <c r="E846" s="78"/>
      <c r="F846" s="78"/>
      <c r="G846" s="78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  <c r="Y846" s="78"/>
      <c r="Z846" s="78"/>
    </row>
    <row r="847" spans="1:26" ht="12.75" customHeight="1" x14ac:dyDescent="0.2">
      <c r="A847" s="78"/>
      <c r="B847" s="78"/>
      <c r="C847" s="78"/>
      <c r="D847" s="78"/>
      <c r="E847" s="78"/>
      <c r="F847" s="78"/>
      <c r="G847" s="78"/>
      <c r="H847" s="78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  <c r="Y847" s="78"/>
      <c r="Z847" s="78"/>
    </row>
    <row r="848" spans="1:26" ht="12.75" customHeight="1" x14ac:dyDescent="0.2">
      <c r="A848" s="78"/>
      <c r="B848" s="78"/>
      <c r="C848" s="78"/>
      <c r="D848" s="78"/>
      <c r="E848" s="78"/>
      <c r="F848" s="78"/>
      <c r="G848" s="78"/>
      <c r="H848" s="78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  <c r="Y848" s="78"/>
      <c r="Z848" s="78"/>
    </row>
    <row r="849" spans="1:26" ht="12.75" customHeight="1" x14ac:dyDescent="0.2">
      <c r="A849" s="78"/>
      <c r="B849" s="78"/>
      <c r="C849" s="78"/>
      <c r="D849" s="78"/>
      <c r="E849" s="78"/>
      <c r="F849" s="78"/>
      <c r="G849" s="78"/>
      <c r="H849" s="78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  <c r="Y849" s="78"/>
      <c r="Z849" s="78"/>
    </row>
    <row r="850" spans="1:26" ht="12.75" customHeight="1" x14ac:dyDescent="0.2">
      <c r="A850" s="78"/>
      <c r="B850" s="78"/>
      <c r="C850" s="78"/>
      <c r="D850" s="78"/>
      <c r="E850" s="78"/>
      <c r="F850" s="78"/>
      <c r="G850" s="78"/>
      <c r="H850" s="78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  <c r="Y850" s="78"/>
      <c r="Z850" s="78"/>
    </row>
    <row r="851" spans="1:26" ht="12.75" customHeight="1" x14ac:dyDescent="0.2">
      <c r="A851" s="78"/>
      <c r="B851" s="78"/>
      <c r="C851" s="78"/>
      <c r="D851" s="78"/>
      <c r="E851" s="78"/>
      <c r="F851" s="78"/>
      <c r="G851" s="78"/>
      <c r="H851" s="78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  <c r="Y851" s="78"/>
      <c r="Z851" s="78"/>
    </row>
    <row r="852" spans="1:26" ht="12.75" customHeight="1" x14ac:dyDescent="0.2">
      <c r="A852" s="78"/>
      <c r="B852" s="78"/>
      <c r="C852" s="78"/>
      <c r="D852" s="78"/>
      <c r="E852" s="78"/>
      <c r="F852" s="78"/>
      <c r="G852" s="78"/>
      <c r="H852" s="78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  <c r="Y852" s="78"/>
      <c r="Z852" s="78"/>
    </row>
    <row r="853" spans="1:26" ht="12.75" customHeight="1" x14ac:dyDescent="0.2">
      <c r="A853" s="78"/>
      <c r="B853" s="78"/>
      <c r="C853" s="78"/>
      <c r="D853" s="78"/>
      <c r="E853" s="78"/>
      <c r="F853" s="78"/>
      <c r="G853" s="78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  <c r="Z853" s="78"/>
    </row>
    <row r="854" spans="1:26" ht="12.75" customHeight="1" x14ac:dyDescent="0.2">
      <c r="A854" s="78"/>
      <c r="B854" s="78"/>
      <c r="C854" s="78"/>
      <c r="D854" s="78"/>
      <c r="E854" s="78"/>
      <c r="F854" s="78"/>
      <c r="G854" s="78"/>
      <c r="H854" s="78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  <c r="Y854" s="78"/>
      <c r="Z854" s="78"/>
    </row>
    <row r="855" spans="1:26" ht="12.75" customHeight="1" x14ac:dyDescent="0.2">
      <c r="A855" s="78"/>
      <c r="B855" s="78"/>
      <c r="C855" s="78"/>
      <c r="D855" s="78"/>
      <c r="E855" s="78"/>
      <c r="F855" s="78"/>
      <c r="G855" s="78"/>
      <c r="H855" s="78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  <c r="Y855" s="78"/>
      <c r="Z855" s="78"/>
    </row>
    <row r="856" spans="1:26" ht="12.75" customHeight="1" x14ac:dyDescent="0.2">
      <c r="A856" s="78"/>
      <c r="B856" s="78"/>
      <c r="C856" s="78"/>
      <c r="D856" s="78"/>
      <c r="E856" s="78"/>
      <c r="F856" s="78"/>
      <c r="G856" s="78"/>
      <c r="H856" s="78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8"/>
      <c r="Z856" s="78"/>
    </row>
    <row r="857" spans="1:26" ht="12.75" customHeight="1" x14ac:dyDescent="0.2">
      <c r="A857" s="78"/>
      <c r="B857" s="78"/>
      <c r="C857" s="78"/>
      <c r="D857" s="78"/>
      <c r="E857" s="78"/>
      <c r="F857" s="78"/>
      <c r="G857" s="78"/>
      <c r="H857" s="78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  <c r="Y857" s="78"/>
      <c r="Z857" s="78"/>
    </row>
    <row r="858" spans="1:26" ht="12.75" customHeight="1" x14ac:dyDescent="0.2">
      <c r="A858" s="78"/>
      <c r="B858" s="78"/>
      <c r="C858" s="78"/>
      <c r="D858" s="78"/>
      <c r="E858" s="78"/>
      <c r="F858" s="78"/>
      <c r="G858" s="78"/>
      <c r="H858" s="78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  <c r="Y858" s="78"/>
      <c r="Z858" s="78"/>
    </row>
    <row r="859" spans="1:26" ht="12.75" customHeight="1" x14ac:dyDescent="0.2">
      <c r="A859" s="78"/>
      <c r="B859" s="78"/>
      <c r="C859" s="78"/>
      <c r="D859" s="78"/>
      <c r="E859" s="78"/>
      <c r="F859" s="78"/>
      <c r="G859" s="78"/>
      <c r="H859" s="78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  <c r="Y859" s="78"/>
      <c r="Z859" s="78"/>
    </row>
    <row r="860" spans="1:26" ht="12.75" customHeight="1" x14ac:dyDescent="0.2">
      <c r="A860" s="78"/>
      <c r="B860" s="78"/>
      <c r="C860" s="78"/>
      <c r="D860" s="78"/>
      <c r="E860" s="78"/>
      <c r="F860" s="78"/>
      <c r="G860" s="78"/>
      <c r="H860" s="78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  <c r="Y860" s="78"/>
      <c r="Z860" s="78"/>
    </row>
    <row r="861" spans="1:26" ht="12.75" customHeight="1" x14ac:dyDescent="0.2">
      <c r="A861" s="78"/>
      <c r="B861" s="78"/>
      <c r="C861" s="78"/>
      <c r="D861" s="78"/>
      <c r="E861" s="78"/>
      <c r="F861" s="78"/>
      <c r="G861" s="78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  <c r="Z861" s="78"/>
    </row>
    <row r="862" spans="1:26" ht="12.75" customHeight="1" x14ac:dyDescent="0.2">
      <c r="A862" s="78"/>
      <c r="B862" s="78"/>
      <c r="C862" s="78"/>
      <c r="D862" s="78"/>
      <c r="E862" s="78"/>
      <c r="F862" s="78"/>
      <c r="G862" s="78"/>
      <c r="H862" s="78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  <c r="Y862" s="78"/>
      <c r="Z862" s="78"/>
    </row>
    <row r="863" spans="1:26" ht="12.75" customHeight="1" x14ac:dyDescent="0.2">
      <c r="A863" s="78"/>
      <c r="B863" s="78"/>
      <c r="C863" s="78"/>
      <c r="D863" s="78"/>
      <c r="E863" s="78"/>
      <c r="F863" s="78"/>
      <c r="G863" s="78"/>
      <c r="H863" s="78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  <c r="Y863" s="78"/>
      <c r="Z863" s="78"/>
    </row>
    <row r="864" spans="1:26" ht="12.75" customHeight="1" x14ac:dyDescent="0.2">
      <c r="A864" s="78"/>
      <c r="B864" s="78"/>
      <c r="C864" s="78"/>
      <c r="D864" s="78"/>
      <c r="E864" s="78"/>
      <c r="F864" s="78"/>
      <c r="G864" s="78"/>
      <c r="H864" s="78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  <c r="Y864" s="78"/>
      <c r="Z864" s="78"/>
    </row>
    <row r="865" spans="1:26" ht="12.75" customHeight="1" x14ac:dyDescent="0.2">
      <c r="A865" s="78"/>
      <c r="B865" s="78"/>
      <c r="C865" s="78"/>
      <c r="D865" s="78"/>
      <c r="E865" s="78"/>
      <c r="F865" s="78"/>
      <c r="G865" s="78"/>
      <c r="H865" s="78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  <c r="Y865" s="78"/>
      <c r="Z865" s="78"/>
    </row>
    <row r="866" spans="1:26" ht="12.75" customHeight="1" x14ac:dyDescent="0.2">
      <c r="A866" s="78"/>
      <c r="B866" s="78"/>
      <c r="C866" s="78"/>
      <c r="D866" s="78"/>
      <c r="E866" s="78"/>
      <c r="F866" s="78"/>
      <c r="G866" s="78"/>
      <c r="H866" s="78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  <c r="Y866" s="78"/>
      <c r="Z866" s="78"/>
    </row>
    <row r="867" spans="1:26" ht="12.75" customHeight="1" x14ac:dyDescent="0.2">
      <c r="A867" s="78"/>
      <c r="B867" s="78"/>
      <c r="C867" s="78"/>
      <c r="D867" s="78"/>
      <c r="E867" s="78"/>
      <c r="F867" s="78"/>
      <c r="G867" s="78"/>
      <c r="H867" s="78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  <c r="Y867" s="78"/>
      <c r="Z867" s="78"/>
    </row>
    <row r="868" spans="1:26" ht="12.75" customHeight="1" x14ac:dyDescent="0.2">
      <c r="A868" s="78"/>
      <c r="B868" s="78"/>
      <c r="C868" s="78"/>
      <c r="D868" s="78"/>
      <c r="E868" s="78"/>
      <c r="F868" s="78"/>
      <c r="G868" s="78"/>
      <c r="H868" s="78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  <c r="Y868" s="78"/>
      <c r="Z868" s="78"/>
    </row>
    <row r="869" spans="1:26" ht="12.75" customHeight="1" x14ac:dyDescent="0.2">
      <c r="A869" s="78"/>
      <c r="B869" s="78"/>
      <c r="C869" s="78"/>
      <c r="D869" s="78"/>
      <c r="E869" s="78"/>
      <c r="F869" s="78"/>
      <c r="G869" s="78"/>
      <c r="H869" s="78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  <c r="Y869" s="78"/>
      <c r="Z869" s="78"/>
    </row>
    <row r="870" spans="1:26" ht="12.75" customHeight="1" x14ac:dyDescent="0.2">
      <c r="A870" s="78"/>
      <c r="B870" s="78"/>
      <c r="C870" s="78"/>
      <c r="D870" s="78"/>
      <c r="E870" s="78"/>
      <c r="F870" s="78"/>
      <c r="G870" s="78"/>
      <c r="H870" s="78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  <c r="Y870" s="78"/>
      <c r="Z870" s="78"/>
    </row>
    <row r="871" spans="1:26" ht="12.75" customHeight="1" x14ac:dyDescent="0.2">
      <c r="A871" s="78"/>
      <c r="B871" s="78"/>
      <c r="C871" s="78"/>
      <c r="D871" s="78"/>
      <c r="E871" s="78"/>
      <c r="F871" s="78"/>
      <c r="G871" s="78"/>
      <c r="H871" s="78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  <c r="Y871" s="78"/>
      <c r="Z871" s="78"/>
    </row>
    <row r="872" spans="1:26" ht="12.75" customHeight="1" x14ac:dyDescent="0.2">
      <c r="A872" s="78"/>
      <c r="B872" s="78"/>
      <c r="C872" s="78"/>
      <c r="D872" s="78"/>
      <c r="E872" s="78"/>
      <c r="F872" s="78"/>
      <c r="G872" s="78"/>
      <c r="H872" s="78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  <c r="Y872" s="78"/>
      <c r="Z872" s="78"/>
    </row>
    <row r="873" spans="1:26" ht="12.75" customHeight="1" x14ac:dyDescent="0.2">
      <c r="A873" s="78"/>
      <c r="B873" s="78"/>
      <c r="C873" s="78"/>
      <c r="D873" s="78"/>
      <c r="E873" s="78"/>
      <c r="F873" s="78"/>
      <c r="G873" s="78"/>
      <c r="H873" s="78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  <c r="Y873" s="78"/>
      <c r="Z873" s="78"/>
    </row>
    <row r="874" spans="1:26" ht="12.75" customHeight="1" x14ac:dyDescent="0.2">
      <c r="A874" s="78"/>
      <c r="B874" s="78"/>
      <c r="C874" s="78"/>
      <c r="D874" s="78"/>
      <c r="E874" s="78"/>
      <c r="F874" s="78"/>
      <c r="G874" s="78"/>
      <c r="H874" s="78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  <c r="Y874" s="78"/>
      <c r="Z874" s="78"/>
    </row>
    <row r="875" spans="1:26" ht="12.75" customHeight="1" x14ac:dyDescent="0.2">
      <c r="A875" s="78"/>
      <c r="B875" s="78"/>
      <c r="C875" s="78"/>
      <c r="D875" s="78"/>
      <c r="E875" s="78"/>
      <c r="F875" s="78"/>
      <c r="G875" s="78"/>
      <c r="H875" s="78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  <c r="Y875" s="78"/>
      <c r="Z875" s="78"/>
    </row>
    <row r="876" spans="1:26" ht="12.75" customHeight="1" x14ac:dyDescent="0.2">
      <c r="A876" s="78"/>
      <c r="B876" s="78"/>
      <c r="C876" s="78"/>
      <c r="D876" s="78"/>
      <c r="E876" s="78"/>
      <c r="F876" s="78"/>
      <c r="G876" s="78"/>
      <c r="H876" s="78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  <c r="Y876" s="78"/>
      <c r="Z876" s="78"/>
    </row>
    <row r="877" spans="1:26" ht="12.75" customHeight="1" x14ac:dyDescent="0.2">
      <c r="A877" s="78"/>
      <c r="B877" s="78"/>
      <c r="C877" s="78"/>
      <c r="D877" s="78"/>
      <c r="E877" s="78"/>
      <c r="F877" s="78"/>
      <c r="G877" s="78"/>
      <c r="H877" s="78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  <c r="Y877" s="78"/>
      <c r="Z877" s="78"/>
    </row>
    <row r="878" spans="1:26" ht="12.75" customHeight="1" x14ac:dyDescent="0.2">
      <c r="A878" s="78"/>
      <c r="B878" s="78"/>
      <c r="C878" s="78"/>
      <c r="D878" s="78"/>
      <c r="E878" s="78"/>
      <c r="F878" s="78"/>
      <c r="G878" s="78"/>
      <c r="H878" s="78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  <c r="Y878" s="78"/>
      <c r="Z878" s="78"/>
    </row>
    <row r="879" spans="1:26" ht="12.75" customHeight="1" x14ac:dyDescent="0.2">
      <c r="A879" s="78"/>
      <c r="B879" s="78"/>
      <c r="C879" s="78"/>
      <c r="D879" s="78"/>
      <c r="E879" s="78"/>
      <c r="F879" s="78"/>
      <c r="G879" s="78"/>
      <c r="H879" s="78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  <c r="Y879" s="78"/>
      <c r="Z879" s="78"/>
    </row>
    <row r="880" spans="1:26" ht="12.75" customHeight="1" x14ac:dyDescent="0.2">
      <c r="A880" s="78"/>
      <c r="B880" s="78"/>
      <c r="C880" s="78"/>
      <c r="D880" s="78"/>
      <c r="E880" s="78"/>
      <c r="F880" s="78"/>
      <c r="G880" s="78"/>
      <c r="H880" s="78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  <c r="Y880" s="78"/>
      <c r="Z880" s="78"/>
    </row>
    <row r="881" spans="1:26" ht="12.75" customHeight="1" x14ac:dyDescent="0.2">
      <c r="A881" s="78"/>
      <c r="B881" s="78"/>
      <c r="C881" s="78"/>
      <c r="D881" s="78"/>
      <c r="E881" s="78"/>
      <c r="F881" s="78"/>
      <c r="G881" s="78"/>
      <c r="H881" s="78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  <c r="Y881" s="78"/>
      <c r="Z881" s="78"/>
    </row>
    <row r="882" spans="1:26" ht="12.75" customHeight="1" x14ac:dyDescent="0.2">
      <c r="A882" s="78"/>
      <c r="B882" s="78"/>
      <c r="C882" s="78"/>
      <c r="D882" s="78"/>
      <c r="E882" s="78"/>
      <c r="F882" s="78"/>
      <c r="G882" s="78"/>
      <c r="H882" s="78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  <c r="Y882" s="78"/>
      <c r="Z882" s="78"/>
    </row>
    <row r="883" spans="1:26" ht="12.75" customHeight="1" x14ac:dyDescent="0.2">
      <c r="A883" s="78"/>
      <c r="B883" s="78"/>
      <c r="C883" s="78"/>
      <c r="D883" s="78"/>
      <c r="E883" s="78"/>
      <c r="F883" s="78"/>
      <c r="G883" s="78"/>
      <c r="H883" s="78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  <c r="Z883" s="78"/>
    </row>
    <row r="884" spans="1:26" ht="12.75" customHeight="1" x14ac:dyDescent="0.2">
      <c r="A884" s="78"/>
      <c r="B884" s="78"/>
      <c r="C884" s="78"/>
      <c r="D884" s="78"/>
      <c r="E884" s="78"/>
      <c r="F884" s="78"/>
      <c r="G884" s="78"/>
      <c r="H884" s="78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  <c r="Y884" s="78"/>
      <c r="Z884" s="78"/>
    </row>
    <row r="885" spans="1:26" ht="12.75" customHeight="1" x14ac:dyDescent="0.2">
      <c r="A885" s="78"/>
      <c r="B885" s="78"/>
      <c r="C885" s="78"/>
      <c r="D885" s="78"/>
      <c r="E885" s="78"/>
      <c r="F885" s="78"/>
      <c r="G885" s="78"/>
      <c r="H885" s="78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  <c r="Y885" s="78"/>
      <c r="Z885" s="78"/>
    </row>
    <row r="886" spans="1:26" ht="12.75" customHeight="1" x14ac:dyDescent="0.2">
      <c r="A886" s="78"/>
      <c r="B886" s="78"/>
      <c r="C886" s="78"/>
      <c r="D886" s="78"/>
      <c r="E886" s="78"/>
      <c r="F886" s="78"/>
      <c r="G886" s="78"/>
      <c r="H886" s="78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  <c r="Y886" s="78"/>
      <c r="Z886" s="78"/>
    </row>
    <row r="887" spans="1:26" ht="12.75" customHeight="1" x14ac:dyDescent="0.2">
      <c r="A887" s="78"/>
      <c r="B887" s="78"/>
      <c r="C887" s="78"/>
      <c r="D887" s="78"/>
      <c r="E887" s="78"/>
      <c r="F887" s="78"/>
      <c r="G887" s="78"/>
      <c r="H887" s="78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  <c r="Y887" s="78"/>
      <c r="Z887" s="78"/>
    </row>
    <row r="888" spans="1:26" ht="12.75" customHeight="1" x14ac:dyDescent="0.2">
      <c r="A888" s="78"/>
      <c r="B888" s="78"/>
      <c r="C888" s="78"/>
      <c r="D888" s="78"/>
      <c r="E888" s="78"/>
      <c r="F888" s="78"/>
      <c r="G888" s="78"/>
      <c r="H888" s="78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  <c r="Y888" s="78"/>
      <c r="Z888" s="78"/>
    </row>
    <row r="889" spans="1:26" ht="12.75" customHeight="1" x14ac:dyDescent="0.2">
      <c r="A889" s="78"/>
      <c r="B889" s="78"/>
      <c r="C889" s="78"/>
      <c r="D889" s="78"/>
      <c r="E889" s="78"/>
      <c r="F889" s="78"/>
      <c r="G889" s="78"/>
      <c r="H889" s="78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  <c r="Y889" s="78"/>
      <c r="Z889" s="78"/>
    </row>
    <row r="890" spans="1:26" ht="12.75" customHeight="1" x14ac:dyDescent="0.2">
      <c r="A890" s="78"/>
      <c r="B890" s="78"/>
      <c r="C890" s="78"/>
      <c r="D890" s="78"/>
      <c r="E890" s="78"/>
      <c r="F890" s="78"/>
      <c r="G890" s="78"/>
      <c r="H890" s="78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  <c r="Y890" s="78"/>
      <c r="Z890" s="78"/>
    </row>
    <row r="891" spans="1:26" ht="12.75" customHeight="1" x14ac:dyDescent="0.2">
      <c r="A891" s="78"/>
      <c r="B891" s="78"/>
      <c r="C891" s="78"/>
      <c r="D891" s="78"/>
      <c r="E891" s="78"/>
      <c r="F891" s="78"/>
      <c r="G891" s="78"/>
      <c r="H891" s="78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  <c r="Y891" s="78"/>
      <c r="Z891" s="78"/>
    </row>
    <row r="892" spans="1:26" ht="12.75" customHeight="1" x14ac:dyDescent="0.2">
      <c r="A892" s="78"/>
      <c r="B892" s="78"/>
      <c r="C892" s="78"/>
      <c r="D892" s="78"/>
      <c r="E892" s="78"/>
      <c r="F892" s="78"/>
      <c r="G892" s="78"/>
      <c r="H892" s="78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  <c r="Y892" s="78"/>
      <c r="Z892" s="78"/>
    </row>
    <row r="893" spans="1:26" ht="12.75" customHeight="1" x14ac:dyDescent="0.2">
      <c r="A893" s="78"/>
      <c r="B893" s="78"/>
      <c r="C893" s="78"/>
      <c r="D893" s="78"/>
      <c r="E893" s="78"/>
      <c r="F893" s="78"/>
      <c r="G893" s="78"/>
      <c r="H893" s="78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  <c r="Y893" s="78"/>
      <c r="Z893" s="78"/>
    </row>
    <row r="894" spans="1:26" ht="12.75" customHeight="1" x14ac:dyDescent="0.2">
      <c r="A894" s="78"/>
      <c r="B894" s="78"/>
      <c r="C894" s="78"/>
      <c r="D894" s="78"/>
      <c r="E894" s="78"/>
      <c r="F894" s="78"/>
      <c r="G894" s="78"/>
      <c r="H894" s="78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  <c r="Y894" s="78"/>
      <c r="Z894" s="78"/>
    </row>
    <row r="895" spans="1:26" ht="12.75" customHeight="1" x14ac:dyDescent="0.2">
      <c r="A895" s="78"/>
      <c r="B895" s="78"/>
      <c r="C895" s="78"/>
      <c r="D895" s="78"/>
      <c r="E895" s="78"/>
      <c r="F895" s="78"/>
      <c r="G895" s="78"/>
      <c r="H895" s="78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  <c r="Y895" s="78"/>
      <c r="Z895" s="78"/>
    </row>
    <row r="896" spans="1:26" ht="12.75" customHeight="1" x14ac:dyDescent="0.2">
      <c r="A896" s="78"/>
      <c r="B896" s="78"/>
      <c r="C896" s="78"/>
      <c r="D896" s="78"/>
      <c r="E896" s="78"/>
      <c r="F896" s="78"/>
      <c r="G896" s="78"/>
      <c r="H896" s="78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  <c r="Y896" s="78"/>
      <c r="Z896" s="78"/>
    </row>
    <row r="897" spans="1:26" ht="12.75" customHeight="1" x14ac:dyDescent="0.2">
      <c r="A897" s="78"/>
      <c r="B897" s="78"/>
      <c r="C897" s="78"/>
      <c r="D897" s="78"/>
      <c r="E897" s="78"/>
      <c r="F897" s="78"/>
      <c r="G897" s="78"/>
      <c r="H897" s="78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  <c r="Y897" s="78"/>
      <c r="Z897" s="78"/>
    </row>
    <row r="898" spans="1:26" ht="12.75" customHeight="1" x14ac:dyDescent="0.2">
      <c r="A898" s="78"/>
      <c r="B898" s="78"/>
      <c r="C898" s="78"/>
      <c r="D898" s="78"/>
      <c r="E898" s="78"/>
      <c r="F898" s="78"/>
      <c r="G898" s="78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  <c r="Y898" s="78"/>
      <c r="Z898" s="78"/>
    </row>
    <row r="899" spans="1:26" ht="12.75" customHeight="1" x14ac:dyDescent="0.2">
      <c r="A899" s="78"/>
      <c r="B899" s="78"/>
      <c r="C899" s="78"/>
      <c r="D899" s="78"/>
      <c r="E899" s="78"/>
      <c r="F899" s="78"/>
      <c r="G899" s="78"/>
      <c r="H899" s="78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  <c r="Y899" s="78"/>
      <c r="Z899" s="78"/>
    </row>
    <row r="900" spans="1:26" ht="12.75" customHeight="1" x14ac:dyDescent="0.2">
      <c r="A900" s="78"/>
      <c r="B900" s="78"/>
      <c r="C900" s="78"/>
      <c r="D900" s="78"/>
      <c r="E900" s="78"/>
      <c r="F900" s="78"/>
      <c r="G900" s="78"/>
      <c r="H900" s="78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  <c r="Y900" s="78"/>
      <c r="Z900" s="78"/>
    </row>
    <row r="901" spans="1:26" ht="12.75" customHeight="1" x14ac:dyDescent="0.2">
      <c r="A901" s="78"/>
      <c r="B901" s="78"/>
      <c r="C901" s="78"/>
      <c r="D901" s="78"/>
      <c r="E901" s="78"/>
      <c r="F901" s="78"/>
      <c r="G901" s="78"/>
      <c r="H901" s="78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  <c r="Y901" s="78"/>
      <c r="Z901" s="78"/>
    </row>
    <row r="902" spans="1:26" ht="12.75" customHeight="1" x14ac:dyDescent="0.2">
      <c r="A902" s="78"/>
      <c r="B902" s="78"/>
      <c r="C902" s="78"/>
      <c r="D902" s="78"/>
      <c r="E902" s="78"/>
      <c r="F902" s="78"/>
      <c r="G902" s="78"/>
      <c r="H902" s="78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  <c r="Y902" s="78"/>
      <c r="Z902" s="78"/>
    </row>
    <row r="903" spans="1:26" ht="12.75" customHeight="1" x14ac:dyDescent="0.2">
      <c r="A903" s="78"/>
      <c r="B903" s="78"/>
      <c r="C903" s="78"/>
      <c r="D903" s="78"/>
      <c r="E903" s="78"/>
      <c r="F903" s="78"/>
      <c r="G903" s="78"/>
      <c r="H903" s="78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  <c r="Y903" s="78"/>
      <c r="Z903" s="78"/>
    </row>
    <row r="904" spans="1:26" ht="12.75" customHeight="1" x14ac:dyDescent="0.2">
      <c r="A904" s="78"/>
      <c r="B904" s="78"/>
      <c r="C904" s="78"/>
      <c r="D904" s="78"/>
      <c r="E904" s="78"/>
      <c r="F904" s="78"/>
      <c r="G904" s="78"/>
      <c r="H904" s="78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  <c r="Y904" s="78"/>
      <c r="Z904" s="78"/>
    </row>
    <row r="905" spans="1:26" ht="12.75" customHeight="1" x14ac:dyDescent="0.2">
      <c r="A905" s="78"/>
      <c r="B905" s="78"/>
      <c r="C905" s="78"/>
      <c r="D905" s="78"/>
      <c r="E905" s="78"/>
      <c r="F905" s="78"/>
      <c r="G905" s="78"/>
      <c r="H905" s="78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  <c r="Y905" s="78"/>
      <c r="Z905" s="78"/>
    </row>
    <row r="906" spans="1:26" ht="12.75" customHeight="1" x14ac:dyDescent="0.2">
      <c r="A906" s="78"/>
      <c r="B906" s="78"/>
      <c r="C906" s="78"/>
      <c r="D906" s="78"/>
      <c r="E906" s="78"/>
      <c r="F906" s="78"/>
      <c r="G906" s="78"/>
      <c r="H906" s="78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8"/>
      <c r="Z906" s="78"/>
    </row>
    <row r="907" spans="1:26" ht="12.75" customHeight="1" x14ac:dyDescent="0.2">
      <c r="A907" s="78"/>
      <c r="B907" s="78"/>
      <c r="C907" s="78"/>
      <c r="D907" s="78"/>
      <c r="E907" s="78"/>
      <c r="F907" s="78"/>
      <c r="G907" s="78"/>
      <c r="H907" s="78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  <c r="Y907" s="78"/>
      <c r="Z907" s="78"/>
    </row>
    <row r="908" spans="1:26" ht="12.75" customHeight="1" x14ac:dyDescent="0.2">
      <c r="A908" s="78"/>
      <c r="B908" s="78"/>
      <c r="C908" s="78"/>
      <c r="D908" s="78"/>
      <c r="E908" s="78"/>
      <c r="F908" s="78"/>
      <c r="G908" s="78"/>
      <c r="H908" s="78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  <c r="Y908" s="78"/>
      <c r="Z908" s="78"/>
    </row>
    <row r="909" spans="1:26" ht="12.75" customHeight="1" x14ac:dyDescent="0.2">
      <c r="A909" s="78"/>
      <c r="B909" s="78"/>
      <c r="C909" s="78"/>
      <c r="D909" s="78"/>
      <c r="E909" s="78"/>
      <c r="F909" s="78"/>
      <c r="G909" s="78"/>
      <c r="H909" s="78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  <c r="Y909" s="78"/>
      <c r="Z909" s="78"/>
    </row>
    <row r="910" spans="1:26" ht="12.75" customHeight="1" x14ac:dyDescent="0.2">
      <c r="A910" s="78"/>
      <c r="B910" s="78"/>
      <c r="C910" s="78"/>
      <c r="D910" s="78"/>
      <c r="E910" s="78"/>
      <c r="F910" s="78"/>
      <c r="G910" s="78"/>
      <c r="H910" s="78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  <c r="Y910" s="78"/>
      <c r="Z910" s="78"/>
    </row>
    <row r="911" spans="1:26" ht="12.75" customHeight="1" x14ac:dyDescent="0.2">
      <c r="A911" s="78"/>
      <c r="B911" s="78"/>
      <c r="C911" s="78"/>
      <c r="D911" s="78"/>
      <c r="E911" s="78"/>
      <c r="F911" s="78"/>
      <c r="G911" s="78"/>
      <c r="H911" s="78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  <c r="Y911" s="78"/>
      <c r="Z911" s="78"/>
    </row>
    <row r="912" spans="1:26" ht="12.75" customHeight="1" x14ac:dyDescent="0.2">
      <c r="A912" s="78"/>
      <c r="B912" s="78"/>
      <c r="C912" s="78"/>
      <c r="D912" s="78"/>
      <c r="E912" s="78"/>
      <c r="F912" s="78"/>
      <c r="G912" s="78"/>
      <c r="H912" s="78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  <c r="Y912" s="78"/>
      <c r="Z912" s="78"/>
    </row>
    <row r="913" spans="1:26" ht="12.75" customHeight="1" x14ac:dyDescent="0.2">
      <c r="A913" s="78"/>
      <c r="B913" s="78"/>
      <c r="C913" s="78"/>
      <c r="D913" s="78"/>
      <c r="E913" s="78"/>
      <c r="F913" s="78"/>
      <c r="G913" s="78"/>
      <c r="H913" s="78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  <c r="Y913" s="78"/>
      <c r="Z913" s="78"/>
    </row>
    <row r="914" spans="1:26" ht="12.75" customHeight="1" x14ac:dyDescent="0.2">
      <c r="A914" s="78"/>
      <c r="B914" s="78"/>
      <c r="C914" s="78"/>
      <c r="D914" s="78"/>
      <c r="E914" s="78"/>
      <c r="F914" s="78"/>
      <c r="G914" s="78"/>
      <c r="H914" s="78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  <c r="X914" s="78"/>
      <c r="Y914" s="78"/>
      <c r="Z914" s="78"/>
    </row>
    <row r="915" spans="1:26" ht="12.75" customHeight="1" x14ac:dyDescent="0.2">
      <c r="A915" s="78"/>
      <c r="B915" s="78"/>
      <c r="C915" s="78"/>
      <c r="D915" s="78"/>
      <c r="E915" s="78"/>
      <c r="F915" s="78"/>
      <c r="G915" s="78"/>
      <c r="H915" s="78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  <c r="Y915" s="78"/>
      <c r="Z915" s="78"/>
    </row>
    <row r="916" spans="1:26" ht="12.75" customHeight="1" x14ac:dyDescent="0.2">
      <c r="A916" s="78"/>
      <c r="B916" s="78"/>
      <c r="C916" s="78"/>
      <c r="D916" s="78"/>
      <c r="E916" s="78"/>
      <c r="F916" s="78"/>
      <c r="G916" s="78"/>
      <c r="H916" s="78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  <c r="Y916" s="78"/>
      <c r="Z916" s="78"/>
    </row>
    <row r="917" spans="1:26" ht="12.75" customHeight="1" x14ac:dyDescent="0.2">
      <c r="A917" s="78"/>
      <c r="B917" s="78"/>
      <c r="C917" s="78"/>
      <c r="D917" s="78"/>
      <c r="E917" s="78"/>
      <c r="F917" s="78"/>
      <c r="G917" s="78"/>
      <c r="H917" s="78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8"/>
      <c r="Z917" s="78"/>
    </row>
    <row r="918" spans="1:26" ht="12.75" customHeight="1" x14ac:dyDescent="0.2">
      <c r="A918" s="78"/>
      <c r="B918" s="78"/>
      <c r="C918" s="78"/>
      <c r="D918" s="78"/>
      <c r="E918" s="78"/>
      <c r="F918" s="78"/>
      <c r="G918" s="78"/>
      <c r="H918" s="78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  <c r="Y918" s="78"/>
      <c r="Z918" s="78"/>
    </row>
    <row r="919" spans="1:26" ht="12.75" customHeight="1" x14ac:dyDescent="0.2">
      <c r="A919" s="78"/>
      <c r="B919" s="78"/>
      <c r="C919" s="78"/>
      <c r="D919" s="78"/>
      <c r="E919" s="78"/>
      <c r="F919" s="78"/>
      <c r="G919" s="78"/>
      <c r="H919" s="78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  <c r="Y919" s="78"/>
      <c r="Z919" s="78"/>
    </row>
    <row r="920" spans="1:26" ht="12.75" customHeight="1" x14ac:dyDescent="0.2">
      <c r="A920" s="78"/>
      <c r="B920" s="78"/>
      <c r="C920" s="78"/>
      <c r="D920" s="78"/>
      <c r="E920" s="78"/>
      <c r="F920" s="78"/>
      <c r="G920" s="78"/>
      <c r="H920" s="78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  <c r="Y920" s="78"/>
      <c r="Z920" s="78"/>
    </row>
    <row r="921" spans="1:26" ht="12.75" customHeight="1" x14ac:dyDescent="0.2">
      <c r="A921" s="78"/>
      <c r="B921" s="78"/>
      <c r="C921" s="78"/>
      <c r="D921" s="78"/>
      <c r="E921" s="78"/>
      <c r="F921" s="78"/>
      <c r="G921" s="78"/>
      <c r="H921" s="78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  <c r="Y921" s="78"/>
      <c r="Z921" s="78"/>
    </row>
    <row r="922" spans="1:26" ht="12.75" customHeight="1" x14ac:dyDescent="0.2">
      <c r="A922" s="78"/>
      <c r="B922" s="78"/>
      <c r="C922" s="78"/>
      <c r="D922" s="78"/>
      <c r="E922" s="78"/>
      <c r="F922" s="78"/>
      <c r="G922" s="78"/>
      <c r="H922" s="78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8"/>
      <c r="Z922" s="78"/>
    </row>
    <row r="923" spans="1:26" ht="12.75" customHeight="1" x14ac:dyDescent="0.2">
      <c r="A923" s="78"/>
      <c r="B923" s="78"/>
      <c r="C923" s="78"/>
      <c r="D923" s="78"/>
      <c r="E923" s="78"/>
      <c r="F923" s="78"/>
      <c r="G923" s="78"/>
      <c r="H923" s="78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  <c r="Z923" s="78"/>
    </row>
    <row r="924" spans="1:26" ht="12.75" customHeight="1" x14ac:dyDescent="0.2">
      <c r="A924" s="78"/>
      <c r="B924" s="78"/>
      <c r="C924" s="78"/>
      <c r="D924" s="78"/>
      <c r="E924" s="78"/>
      <c r="F924" s="78"/>
      <c r="G924" s="78"/>
      <c r="H924" s="78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  <c r="Y924" s="78"/>
      <c r="Z924" s="78"/>
    </row>
    <row r="925" spans="1:26" ht="12.75" customHeight="1" x14ac:dyDescent="0.2">
      <c r="A925" s="78"/>
      <c r="B925" s="78"/>
      <c r="C925" s="78"/>
      <c r="D925" s="78"/>
      <c r="E925" s="78"/>
      <c r="F925" s="78"/>
      <c r="G925" s="78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  <c r="Z925" s="78"/>
    </row>
    <row r="926" spans="1:26" ht="12.75" customHeight="1" x14ac:dyDescent="0.2">
      <c r="A926" s="78"/>
      <c r="B926" s="78"/>
      <c r="C926" s="78"/>
      <c r="D926" s="78"/>
      <c r="E926" s="78"/>
      <c r="F926" s="78"/>
      <c r="G926" s="78"/>
      <c r="H926" s="78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8"/>
      <c r="Z926" s="78"/>
    </row>
    <row r="927" spans="1:26" ht="12.75" customHeight="1" x14ac:dyDescent="0.2">
      <c r="A927" s="78"/>
      <c r="B927" s="78"/>
      <c r="C927" s="78"/>
      <c r="D927" s="78"/>
      <c r="E927" s="78"/>
      <c r="F927" s="78"/>
      <c r="G927" s="78"/>
      <c r="H927" s="78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  <c r="Y927" s="78"/>
      <c r="Z927" s="78"/>
    </row>
    <row r="928" spans="1:26" ht="12.75" customHeight="1" x14ac:dyDescent="0.2">
      <c r="A928" s="78"/>
      <c r="B928" s="78"/>
      <c r="C928" s="78"/>
      <c r="D928" s="78"/>
      <c r="E928" s="78"/>
      <c r="F928" s="78"/>
      <c r="G928" s="78"/>
      <c r="H928" s="78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  <c r="Y928" s="78"/>
      <c r="Z928" s="78"/>
    </row>
    <row r="929" spans="1:26" ht="12.75" customHeight="1" x14ac:dyDescent="0.2">
      <c r="A929" s="78"/>
      <c r="B929" s="78"/>
      <c r="C929" s="78"/>
      <c r="D929" s="78"/>
      <c r="E929" s="78"/>
      <c r="F929" s="78"/>
      <c r="G929" s="78"/>
      <c r="H929" s="78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  <c r="Y929" s="78"/>
      <c r="Z929" s="78"/>
    </row>
    <row r="930" spans="1:26" ht="12.75" customHeight="1" x14ac:dyDescent="0.2">
      <c r="A930" s="78"/>
      <c r="B930" s="78"/>
      <c r="C930" s="78"/>
      <c r="D930" s="78"/>
      <c r="E930" s="78"/>
      <c r="F930" s="78"/>
      <c r="G930" s="78"/>
      <c r="H930" s="78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  <c r="Y930" s="78"/>
      <c r="Z930" s="78"/>
    </row>
    <row r="931" spans="1:26" ht="12.75" customHeight="1" x14ac:dyDescent="0.2">
      <c r="A931" s="78"/>
      <c r="B931" s="78"/>
      <c r="C931" s="78"/>
      <c r="D931" s="78"/>
      <c r="E931" s="78"/>
      <c r="F931" s="78"/>
      <c r="G931" s="78"/>
      <c r="H931" s="78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  <c r="Y931" s="78"/>
      <c r="Z931" s="78"/>
    </row>
    <row r="932" spans="1:26" ht="12.75" customHeight="1" x14ac:dyDescent="0.2">
      <c r="A932" s="78"/>
      <c r="B932" s="78"/>
      <c r="C932" s="78"/>
      <c r="D932" s="78"/>
      <c r="E932" s="78"/>
      <c r="F932" s="78"/>
      <c r="G932" s="78"/>
      <c r="H932" s="78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  <c r="Y932" s="78"/>
      <c r="Z932" s="78"/>
    </row>
    <row r="933" spans="1:26" ht="12.75" customHeight="1" x14ac:dyDescent="0.2">
      <c r="A933" s="78"/>
      <c r="B933" s="78"/>
      <c r="C933" s="78"/>
      <c r="D933" s="78"/>
      <c r="E933" s="78"/>
      <c r="F933" s="78"/>
      <c r="G933" s="78"/>
      <c r="H933" s="78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  <c r="Y933" s="78"/>
      <c r="Z933" s="78"/>
    </row>
    <row r="934" spans="1:26" ht="12.75" customHeight="1" x14ac:dyDescent="0.2">
      <c r="A934" s="78"/>
      <c r="B934" s="78"/>
      <c r="C934" s="78"/>
      <c r="D934" s="78"/>
      <c r="E934" s="78"/>
      <c r="F934" s="78"/>
      <c r="G934" s="78"/>
      <c r="H934" s="78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  <c r="Y934" s="78"/>
      <c r="Z934" s="78"/>
    </row>
    <row r="935" spans="1:26" ht="12.75" customHeight="1" x14ac:dyDescent="0.2">
      <c r="A935" s="78"/>
      <c r="B935" s="78"/>
      <c r="C935" s="78"/>
      <c r="D935" s="78"/>
      <c r="E935" s="78"/>
      <c r="F935" s="78"/>
      <c r="G935" s="78"/>
      <c r="H935" s="78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  <c r="Y935" s="78"/>
      <c r="Z935" s="78"/>
    </row>
    <row r="936" spans="1:26" ht="12.75" customHeight="1" x14ac:dyDescent="0.2">
      <c r="A936" s="78"/>
      <c r="B936" s="78"/>
      <c r="C936" s="78"/>
      <c r="D936" s="78"/>
      <c r="E936" s="78"/>
      <c r="F936" s="78"/>
      <c r="G936" s="78"/>
      <c r="H936" s="78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  <c r="Y936" s="78"/>
      <c r="Z936" s="78"/>
    </row>
    <row r="937" spans="1:26" ht="12.75" customHeight="1" x14ac:dyDescent="0.2">
      <c r="A937" s="78"/>
      <c r="B937" s="78"/>
      <c r="C937" s="78"/>
      <c r="D937" s="78"/>
      <c r="E937" s="78"/>
      <c r="F937" s="78"/>
      <c r="G937" s="78"/>
      <c r="H937" s="78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  <c r="Y937" s="78"/>
      <c r="Z937" s="78"/>
    </row>
    <row r="938" spans="1:26" ht="12.75" customHeight="1" x14ac:dyDescent="0.2">
      <c r="A938" s="78"/>
      <c r="B938" s="78"/>
      <c r="C938" s="78"/>
      <c r="D938" s="78"/>
      <c r="E938" s="78"/>
      <c r="F938" s="78"/>
      <c r="G938" s="78"/>
      <c r="H938" s="78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  <c r="Y938" s="78"/>
      <c r="Z938" s="78"/>
    </row>
    <row r="939" spans="1:26" ht="12.75" customHeight="1" x14ac:dyDescent="0.2">
      <c r="A939" s="78"/>
      <c r="B939" s="78"/>
      <c r="C939" s="78"/>
      <c r="D939" s="78"/>
      <c r="E939" s="78"/>
      <c r="F939" s="78"/>
      <c r="G939" s="78"/>
      <c r="H939" s="78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  <c r="Y939" s="78"/>
      <c r="Z939" s="78"/>
    </row>
    <row r="940" spans="1:26" ht="12.75" customHeight="1" x14ac:dyDescent="0.2">
      <c r="A940" s="78"/>
      <c r="B940" s="78"/>
      <c r="C940" s="78"/>
      <c r="D940" s="78"/>
      <c r="E940" s="78"/>
      <c r="F940" s="78"/>
      <c r="G940" s="78"/>
      <c r="H940" s="78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  <c r="Y940" s="78"/>
      <c r="Z940" s="78"/>
    </row>
    <row r="941" spans="1:26" ht="12.75" customHeight="1" x14ac:dyDescent="0.2">
      <c r="A941" s="78"/>
      <c r="B941" s="78"/>
      <c r="C941" s="78"/>
      <c r="D941" s="78"/>
      <c r="E941" s="78"/>
      <c r="F941" s="78"/>
      <c r="G941" s="78"/>
      <c r="H941" s="78"/>
      <c r="I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  <c r="W941" s="78"/>
      <c r="X941" s="78"/>
      <c r="Y941" s="78"/>
      <c r="Z941" s="78"/>
    </row>
    <row r="942" spans="1:26" ht="12.75" customHeight="1" x14ac:dyDescent="0.2">
      <c r="A942" s="78"/>
      <c r="B942" s="78"/>
      <c r="C942" s="78"/>
      <c r="D942" s="78"/>
      <c r="E942" s="78"/>
      <c r="F942" s="78"/>
      <c r="G942" s="78"/>
      <c r="H942" s="78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  <c r="Y942" s="78"/>
      <c r="Z942" s="78"/>
    </row>
    <row r="943" spans="1:26" ht="12.75" customHeight="1" x14ac:dyDescent="0.2">
      <c r="A943" s="78"/>
      <c r="B943" s="78"/>
      <c r="C943" s="78"/>
      <c r="D943" s="78"/>
      <c r="E943" s="78"/>
      <c r="F943" s="78"/>
      <c r="G943" s="78"/>
      <c r="H943" s="78"/>
      <c r="I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  <c r="W943" s="78"/>
      <c r="X943" s="78"/>
      <c r="Y943" s="78"/>
      <c r="Z943" s="78"/>
    </row>
    <row r="944" spans="1:26" ht="12.75" customHeight="1" x14ac:dyDescent="0.2">
      <c r="A944" s="78"/>
      <c r="B944" s="78"/>
      <c r="C944" s="78"/>
      <c r="D944" s="78"/>
      <c r="E944" s="78"/>
      <c r="F944" s="78"/>
      <c r="G944" s="78"/>
      <c r="H944" s="78"/>
      <c r="I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  <c r="W944" s="78"/>
      <c r="X944" s="78"/>
      <c r="Y944" s="78"/>
      <c r="Z944" s="78"/>
    </row>
    <row r="945" spans="1:26" ht="12.75" customHeight="1" x14ac:dyDescent="0.2">
      <c r="A945" s="78"/>
      <c r="B945" s="78"/>
      <c r="C945" s="78"/>
      <c r="D945" s="78"/>
      <c r="E945" s="78"/>
      <c r="F945" s="78"/>
      <c r="G945" s="78"/>
      <c r="H945" s="78"/>
      <c r="I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  <c r="W945" s="78"/>
      <c r="X945" s="78"/>
      <c r="Y945" s="78"/>
      <c r="Z945" s="78"/>
    </row>
    <row r="946" spans="1:26" ht="12.75" customHeight="1" x14ac:dyDescent="0.2">
      <c r="A946" s="78"/>
      <c r="B946" s="78"/>
      <c r="C946" s="78"/>
      <c r="D946" s="78"/>
      <c r="E946" s="78"/>
      <c r="F946" s="78"/>
      <c r="G946" s="78"/>
      <c r="H946" s="78"/>
      <c r="I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  <c r="W946" s="78"/>
      <c r="X946" s="78"/>
      <c r="Y946" s="78"/>
      <c r="Z946" s="78"/>
    </row>
    <row r="947" spans="1:26" ht="12.75" customHeight="1" x14ac:dyDescent="0.2">
      <c r="A947" s="78"/>
      <c r="B947" s="78"/>
      <c r="C947" s="78"/>
      <c r="D947" s="78"/>
      <c r="E947" s="78"/>
      <c r="F947" s="78"/>
      <c r="G947" s="78"/>
      <c r="H947" s="78"/>
      <c r="I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  <c r="W947" s="78"/>
      <c r="X947" s="78"/>
      <c r="Y947" s="78"/>
      <c r="Z947" s="78"/>
    </row>
    <row r="948" spans="1:26" ht="12.75" customHeight="1" x14ac:dyDescent="0.2">
      <c r="A948" s="78"/>
      <c r="B948" s="78"/>
      <c r="C948" s="78"/>
      <c r="D948" s="78"/>
      <c r="E948" s="78"/>
      <c r="F948" s="78"/>
      <c r="G948" s="78"/>
      <c r="H948" s="78"/>
      <c r="I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  <c r="W948" s="78"/>
      <c r="X948" s="78"/>
      <c r="Y948" s="78"/>
      <c r="Z948" s="78"/>
    </row>
    <row r="949" spans="1:26" ht="12.75" customHeight="1" x14ac:dyDescent="0.2">
      <c r="A949" s="78"/>
      <c r="B949" s="78"/>
      <c r="C949" s="78"/>
      <c r="D949" s="78"/>
      <c r="E949" s="78"/>
      <c r="F949" s="78"/>
      <c r="G949" s="78"/>
      <c r="H949" s="78"/>
      <c r="I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  <c r="W949" s="78"/>
      <c r="X949" s="78"/>
      <c r="Y949" s="78"/>
      <c r="Z949" s="78"/>
    </row>
    <row r="950" spans="1:26" ht="12.75" customHeight="1" x14ac:dyDescent="0.2">
      <c r="A950" s="78"/>
      <c r="B950" s="78"/>
      <c r="C950" s="78"/>
      <c r="D950" s="78"/>
      <c r="E950" s="78"/>
      <c r="F950" s="78"/>
      <c r="G950" s="78"/>
      <c r="H950" s="78"/>
      <c r="I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  <c r="Y950" s="78"/>
      <c r="Z950" s="78"/>
    </row>
    <row r="951" spans="1:26" ht="12.75" customHeight="1" x14ac:dyDescent="0.2">
      <c r="A951" s="78"/>
      <c r="B951" s="78"/>
      <c r="C951" s="78"/>
      <c r="D951" s="78"/>
      <c r="E951" s="78"/>
      <c r="F951" s="78"/>
      <c r="G951" s="78"/>
      <c r="H951" s="78"/>
      <c r="I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  <c r="Y951" s="78"/>
      <c r="Z951" s="78"/>
    </row>
    <row r="952" spans="1:26" ht="12.75" customHeight="1" x14ac:dyDescent="0.2">
      <c r="A952" s="78"/>
      <c r="B952" s="78"/>
      <c r="C952" s="78"/>
      <c r="D952" s="78"/>
      <c r="E952" s="78"/>
      <c r="F952" s="78"/>
      <c r="G952" s="78"/>
      <c r="H952" s="78"/>
      <c r="I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  <c r="Y952" s="78"/>
      <c r="Z952" s="78"/>
    </row>
    <row r="953" spans="1:26" ht="12.75" customHeight="1" x14ac:dyDescent="0.2">
      <c r="A953" s="78"/>
      <c r="B953" s="78"/>
      <c r="C953" s="78"/>
      <c r="D953" s="78"/>
      <c r="E953" s="78"/>
      <c r="F953" s="78"/>
      <c r="G953" s="78"/>
      <c r="H953" s="78"/>
      <c r="I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8"/>
      <c r="Z953" s="78"/>
    </row>
    <row r="954" spans="1:26" ht="12.75" customHeight="1" x14ac:dyDescent="0.2">
      <c r="A954" s="78"/>
      <c r="B954" s="78"/>
      <c r="C954" s="78"/>
      <c r="D954" s="78"/>
      <c r="E954" s="78"/>
      <c r="F954" s="78"/>
      <c r="G954" s="78"/>
      <c r="H954" s="78"/>
      <c r="I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  <c r="Y954" s="78"/>
      <c r="Z954" s="78"/>
    </row>
    <row r="955" spans="1:26" ht="12.75" customHeight="1" x14ac:dyDescent="0.2">
      <c r="A955" s="78"/>
      <c r="B955" s="78"/>
      <c r="C955" s="78"/>
      <c r="D955" s="78"/>
      <c r="E955" s="78"/>
      <c r="F955" s="78"/>
      <c r="G955" s="78"/>
      <c r="H955" s="78"/>
      <c r="I955" s="78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8"/>
      <c r="Z955" s="78"/>
    </row>
    <row r="956" spans="1:26" ht="12.75" customHeight="1" x14ac:dyDescent="0.2">
      <c r="A956" s="78"/>
      <c r="B956" s="78"/>
      <c r="C956" s="78"/>
      <c r="D956" s="78"/>
      <c r="E956" s="78"/>
      <c r="F956" s="78"/>
      <c r="G956" s="78"/>
      <c r="H956" s="78"/>
      <c r="I956" s="78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8"/>
      <c r="X956" s="78"/>
      <c r="Y956" s="78"/>
      <c r="Z956" s="78"/>
    </row>
    <row r="957" spans="1:26" ht="12.75" customHeight="1" x14ac:dyDescent="0.2">
      <c r="A957" s="78"/>
      <c r="B957" s="78"/>
      <c r="C957" s="78"/>
      <c r="D957" s="78"/>
      <c r="E957" s="78"/>
      <c r="F957" s="78"/>
      <c r="G957" s="78"/>
      <c r="H957" s="78"/>
      <c r="I957" s="78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  <c r="W957" s="78"/>
      <c r="X957" s="78"/>
      <c r="Y957" s="78"/>
      <c r="Z957" s="78"/>
    </row>
    <row r="958" spans="1:26" ht="12.75" customHeight="1" x14ac:dyDescent="0.2">
      <c r="A958" s="78"/>
      <c r="B958" s="78"/>
      <c r="C958" s="78"/>
      <c r="D958" s="78"/>
      <c r="E958" s="78"/>
      <c r="F958" s="78"/>
      <c r="G958" s="78"/>
      <c r="H958" s="78"/>
      <c r="I958" s="78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  <c r="W958" s="78"/>
      <c r="X958" s="78"/>
      <c r="Y958" s="78"/>
      <c r="Z958" s="78"/>
    </row>
    <row r="959" spans="1:26" ht="12.75" customHeight="1" x14ac:dyDescent="0.2">
      <c r="A959" s="78"/>
      <c r="B959" s="78"/>
      <c r="C959" s="78"/>
      <c r="D959" s="78"/>
      <c r="E959" s="78"/>
      <c r="F959" s="78"/>
      <c r="G959" s="78"/>
      <c r="H959" s="78"/>
      <c r="I959" s="78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  <c r="W959" s="78"/>
      <c r="X959" s="78"/>
      <c r="Y959" s="78"/>
      <c r="Z959" s="78"/>
    </row>
    <row r="960" spans="1:26" ht="12.75" customHeight="1" x14ac:dyDescent="0.2">
      <c r="A960" s="78"/>
      <c r="B960" s="78"/>
      <c r="C960" s="78"/>
      <c r="D960" s="78"/>
      <c r="E960" s="78"/>
      <c r="F960" s="78"/>
      <c r="G960" s="78"/>
      <c r="H960" s="78"/>
      <c r="I960" s="78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/>
      <c r="W960" s="78"/>
      <c r="X960" s="78"/>
      <c r="Y960" s="78"/>
      <c r="Z960" s="78"/>
    </row>
    <row r="961" spans="1:26" ht="12.75" customHeight="1" x14ac:dyDescent="0.2">
      <c r="A961" s="78"/>
      <c r="B961" s="78"/>
      <c r="C961" s="78"/>
      <c r="D961" s="78"/>
      <c r="E961" s="78"/>
      <c r="F961" s="78"/>
      <c r="G961" s="78"/>
      <c r="H961" s="78"/>
      <c r="I961" s="78"/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8"/>
      <c r="W961" s="78"/>
      <c r="X961" s="78"/>
      <c r="Y961" s="78"/>
      <c r="Z961" s="78"/>
    </row>
    <row r="962" spans="1:26" ht="12.75" customHeight="1" x14ac:dyDescent="0.2">
      <c r="A962" s="78"/>
      <c r="B962" s="78"/>
      <c r="C962" s="78"/>
      <c r="D962" s="78"/>
      <c r="E962" s="78"/>
      <c r="F962" s="78"/>
      <c r="G962" s="78"/>
      <c r="H962" s="78"/>
      <c r="I962" s="78"/>
      <c r="J962" s="78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  <c r="V962" s="78"/>
      <c r="W962" s="78"/>
      <c r="X962" s="78"/>
      <c r="Y962" s="78"/>
      <c r="Z962" s="78"/>
    </row>
    <row r="963" spans="1:26" ht="12.75" customHeight="1" x14ac:dyDescent="0.2">
      <c r="A963" s="78"/>
      <c r="B963" s="78"/>
      <c r="C963" s="78"/>
      <c r="D963" s="78"/>
      <c r="E963" s="78"/>
      <c r="F963" s="78"/>
      <c r="G963" s="78"/>
      <c r="H963" s="78"/>
      <c r="I963" s="78"/>
      <c r="J963" s="78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  <c r="V963" s="78"/>
      <c r="W963" s="78"/>
      <c r="X963" s="78"/>
      <c r="Y963" s="78"/>
      <c r="Z963" s="78"/>
    </row>
    <row r="964" spans="1:26" ht="12.75" customHeight="1" x14ac:dyDescent="0.2">
      <c r="A964" s="78"/>
      <c r="B964" s="78"/>
      <c r="C964" s="78"/>
      <c r="D964" s="78"/>
      <c r="E964" s="78"/>
      <c r="F964" s="78"/>
      <c r="G964" s="78"/>
      <c r="H964" s="78"/>
      <c r="I964" s="78"/>
      <c r="J964" s="78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  <c r="V964" s="78"/>
      <c r="W964" s="78"/>
      <c r="X964" s="78"/>
      <c r="Y964" s="78"/>
      <c r="Z964" s="78"/>
    </row>
    <row r="965" spans="1:26" ht="12.75" customHeight="1" x14ac:dyDescent="0.2">
      <c r="A965" s="78"/>
      <c r="B965" s="78"/>
      <c r="C965" s="78"/>
      <c r="D965" s="78"/>
      <c r="E965" s="78"/>
      <c r="F965" s="78"/>
      <c r="G965" s="78"/>
      <c r="H965" s="78"/>
      <c r="I965" s="78"/>
      <c r="J965" s="78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  <c r="V965" s="78"/>
      <c r="W965" s="78"/>
      <c r="X965" s="78"/>
      <c r="Y965" s="78"/>
      <c r="Z965" s="78"/>
    </row>
    <row r="966" spans="1:26" ht="12.75" customHeight="1" x14ac:dyDescent="0.2">
      <c r="A966" s="78"/>
      <c r="B966" s="78"/>
      <c r="C966" s="78"/>
      <c r="D966" s="78"/>
      <c r="E966" s="78"/>
      <c r="F966" s="78"/>
      <c r="G966" s="78"/>
      <c r="H966" s="78"/>
      <c r="I966" s="78"/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  <c r="V966" s="78"/>
      <c r="W966" s="78"/>
      <c r="X966" s="78"/>
      <c r="Y966" s="78"/>
      <c r="Z966" s="78"/>
    </row>
    <row r="967" spans="1:26" ht="12.75" customHeight="1" x14ac:dyDescent="0.2">
      <c r="A967" s="78"/>
      <c r="B967" s="78"/>
      <c r="C967" s="78"/>
      <c r="D967" s="78"/>
      <c r="E967" s="78"/>
      <c r="F967" s="78"/>
      <c r="G967" s="78"/>
      <c r="H967" s="78"/>
      <c r="I967" s="78"/>
      <c r="J967" s="78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  <c r="V967" s="78"/>
      <c r="W967" s="78"/>
      <c r="X967" s="78"/>
      <c r="Y967" s="78"/>
      <c r="Z967" s="78"/>
    </row>
    <row r="968" spans="1:26" ht="12.75" customHeight="1" x14ac:dyDescent="0.2">
      <c r="A968" s="78"/>
      <c r="B968" s="78"/>
      <c r="C968" s="78"/>
      <c r="D968" s="78"/>
      <c r="E968" s="78"/>
      <c r="F968" s="78"/>
      <c r="G968" s="78"/>
      <c r="H968" s="78"/>
      <c r="I968" s="78"/>
      <c r="J968" s="78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  <c r="V968" s="78"/>
      <c r="W968" s="78"/>
      <c r="X968" s="78"/>
      <c r="Y968" s="78"/>
      <c r="Z968" s="78"/>
    </row>
    <row r="969" spans="1:26" ht="12.75" customHeight="1" x14ac:dyDescent="0.2">
      <c r="A969" s="78"/>
      <c r="B969" s="78"/>
      <c r="C969" s="78"/>
      <c r="D969" s="78"/>
      <c r="E969" s="78"/>
      <c r="F969" s="78"/>
      <c r="G969" s="78"/>
      <c r="H969" s="78"/>
      <c r="I969" s="78"/>
      <c r="J969" s="78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  <c r="V969" s="78"/>
      <c r="W969" s="78"/>
      <c r="X969" s="78"/>
      <c r="Y969" s="78"/>
      <c r="Z969" s="78"/>
    </row>
    <row r="970" spans="1:26" ht="12.75" customHeight="1" x14ac:dyDescent="0.2">
      <c r="A970" s="78"/>
      <c r="B970" s="78"/>
      <c r="C970" s="78"/>
      <c r="D970" s="78"/>
      <c r="E970" s="78"/>
      <c r="F970" s="78"/>
      <c r="G970" s="78"/>
      <c r="H970" s="78"/>
      <c r="I970" s="78"/>
      <c r="J970" s="78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  <c r="V970" s="78"/>
      <c r="W970" s="78"/>
      <c r="X970" s="78"/>
      <c r="Y970" s="78"/>
      <c r="Z970" s="78"/>
    </row>
    <row r="971" spans="1:26" ht="12.75" customHeight="1" x14ac:dyDescent="0.2">
      <c r="A971" s="78"/>
      <c r="B971" s="78"/>
      <c r="C971" s="78"/>
      <c r="D971" s="78"/>
      <c r="E971" s="78"/>
      <c r="F971" s="78"/>
      <c r="G971" s="78"/>
      <c r="H971" s="78"/>
      <c r="I971" s="78"/>
      <c r="J971" s="78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  <c r="V971" s="78"/>
      <c r="W971" s="78"/>
      <c r="X971" s="78"/>
      <c r="Y971" s="78"/>
      <c r="Z971" s="78"/>
    </row>
    <row r="972" spans="1:26" ht="12.75" customHeight="1" x14ac:dyDescent="0.2">
      <c r="A972" s="78"/>
      <c r="B972" s="78"/>
      <c r="C972" s="78"/>
      <c r="D972" s="78"/>
      <c r="E972" s="78"/>
      <c r="F972" s="78"/>
      <c r="G972" s="78"/>
      <c r="H972" s="78"/>
      <c r="I972" s="78"/>
      <c r="J972" s="78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  <c r="V972" s="78"/>
      <c r="W972" s="78"/>
      <c r="X972" s="78"/>
      <c r="Y972" s="78"/>
      <c r="Z972" s="78"/>
    </row>
    <row r="973" spans="1:26" ht="12.75" customHeight="1" x14ac:dyDescent="0.2">
      <c r="A973" s="78"/>
      <c r="B973" s="78"/>
      <c r="C973" s="78"/>
      <c r="D973" s="78"/>
      <c r="E973" s="78"/>
      <c r="F973" s="78"/>
      <c r="G973" s="78"/>
      <c r="H973" s="78"/>
      <c r="I973" s="78"/>
      <c r="J973" s="78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  <c r="V973" s="78"/>
      <c r="W973" s="78"/>
      <c r="X973" s="78"/>
      <c r="Y973" s="78"/>
      <c r="Z973" s="78"/>
    </row>
    <row r="974" spans="1:26" ht="12.75" customHeight="1" x14ac:dyDescent="0.2">
      <c r="A974" s="78"/>
      <c r="B974" s="78"/>
      <c r="C974" s="78"/>
      <c r="D974" s="78"/>
      <c r="E974" s="78"/>
      <c r="F974" s="78"/>
      <c r="G974" s="78"/>
      <c r="H974" s="78"/>
      <c r="I974" s="78"/>
      <c r="J974" s="78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  <c r="V974" s="78"/>
      <c r="W974" s="78"/>
      <c r="X974" s="78"/>
      <c r="Y974" s="78"/>
      <c r="Z974" s="78"/>
    </row>
    <row r="975" spans="1:26" ht="12.75" customHeight="1" x14ac:dyDescent="0.2">
      <c r="A975" s="78"/>
      <c r="B975" s="78"/>
      <c r="C975" s="78"/>
      <c r="D975" s="78"/>
      <c r="E975" s="78"/>
      <c r="F975" s="78"/>
      <c r="G975" s="78"/>
      <c r="H975" s="78"/>
      <c r="I975" s="78"/>
      <c r="J975" s="78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  <c r="V975" s="78"/>
      <c r="W975" s="78"/>
      <c r="X975" s="78"/>
      <c r="Y975" s="78"/>
      <c r="Z975" s="78"/>
    </row>
    <row r="976" spans="1:26" ht="12.75" customHeight="1" x14ac:dyDescent="0.2">
      <c r="A976" s="78"/>
      <c r="B976" s="78"/>
      <c r="C976" s="78"/>
      <c r="D976" s="78"/>
      <c r="E976" s="78"/>
      <c r="F976" s="78"/>
      <c r="G976" s="78"/>
      <c r="H976" s="78"/>
      <c r="I976" s="78"/>
      <c r="J976" s="78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  <c r="V976" s="78"/>
      <c r="W976" s="78"/>
      <c r="X976" s="78"/>
      <c r="Y976" s="78"/>
      <c r="Z976" s="78"/>
    </row>
    <row r="977" spans="1:26" ht="12.75" customHeight="1" x14ac:dyDescent="0.2">
      <c r="A977" s="78"/>
      <c r="B977" s="78"/>
      <c r="C977" s="78"/>
      <c r="D977" s="78"/>
      <c r="E977" s="78"/>
      <c r="F977" s="78"/>
      <c r="G977" s="78"/>
      <c r="H977" s="78"/>
      <c r="I977" s="78"/>
      <c r="J977" s="78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  <c r="V977" s="78"/>
      <c r="W977" s="78"/>
      <c r="X977" s="78"/>
      <c r="Y977" s="78"/>
      <c r="Z977" s="78"/>
    </row>
    <row r="978" spans="1:26" ht="12.75" customHeight="1" x14ac:dyDescent="0.2">
      <c r="A978" s="78"/>
      <c r="B978" s="78"/>
      <c r="C978" s="78"/>
      <c r="D978" s="78"/>
      <c r="E978" s="78"/>
      <c r="F978" s="78"/>
      <c r="G978" s="78"/>
      <c r="H978" s="78"/>
      <c r="I978" s="78"/>
      <c r="J978" s="78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  <c r="V978" s="78"/>
      <c r="W978" s="78"/>
      <c r="X978" s="78"/>
      <c r="Y978" s="78"/>
      <c r="Z978" s="78"/>
    </row>
    <row r="979" spans="1:26" ht="12.75" customHeight="1" x14ac:dyDescent="0.2">
      <c r="A979" s="78"/>
      <c r="B979" s="78"/>
      <c r="C979" s="78"/>
      <c r="D979" s="78"/>
      <c r="E979" s="78"/>
      <c r="F979" s="78"/>
      <c r="G979" s="78"/>
      <c r="H979" s="78"/>
      <c r="I979" s="78"/>
      <c r="J979" s="78"/>
      <c r="K979" s="78"/>
      <c r="L979" s="78"/>
      <c r="M979" s="78"/>
      <c r="N979" s="78"/>
      <c r="O979" s="78"/>
      <c r="P979" s="78"/>
      <c r="Q979" s="78"/>
      <c r="R979" s="78"/>
      <c r="S979" s="78"/>
      <c r="T979" s="78"/>
      <c r="U979" s="78"/>
      <c r="V979" s="78"/>
      <c r="W979" s="78"/>
      <c r="X979" s="78"/>
      <c r="Y979" s="78"/>
      <c r="Z979" s="78"/>
    </row>
    <row r="980" spans="1:26" ht="12.75" customHeight="1" x14ac:dyDescent="0.2">
      <c r="A980" s="78"/>
      <c r="B980" s="78"/>
      <c r="C980" s="78"/>
      <c r="D980" s="78"/>
      <c r="E980" s="78"/>
      <c r="F980" s="78"/>
      <c r="G980" s="78"/>
      <c r="H980" s="78"/>
      <c r="I980" s="78"/>
      <c r="J980" s="78"/>
      <c r="K980" s="78"/>
      <c r="L980" s="78"/>
      <c r="M980" s="78"/>
      <c r="N980" s="78"/>
      <c r="O980" s="78"/>
      <c r="P980" s="78"/>
      <c r="Q980" s="78"/>
      <c r="R980" s="78"/>
      <c r="S980" s="78"/>
      <c r="T980" s="78"/>
      <c r="U980" s="78"/>
      <c r="V980" s="78"/>
      <c r="W980" s="78"/>
      <c r="X980" s="78"/>
      <c r="Y980" s="78"/>
      <c r="Z980" s="78"/>
    </row>
    <row r="981" spans="1:26" ht="12.75" customHeight="1" x14ac:dyDescent="0.2">
      <c r="A981" s="78"/>
      <c r="B981" s="78"/>
      <c r="C981" s="78"/>
      <c r="D981" s="78"/>
      <c r="E981" s="78"/>
      <c r="F981" s="78"/>
      <c r="G981" s="78"/>
      <c r="H981" s="78"/>
      <c r="I981" s="78"/>
      <c r="J981" s="78"/>
      <c r="K981" s="78"/>
      <c r="L981" s="78"/>
      <c r="M981" s="78"/>
      <c r="N981" s="78"/>
      <c r="O981" s="78"/>
      <c r="P981" s="78"/>
      <c r="Q981" s="78"/>
      <c r="R981" s="78"/>
      <c r="S981" s="78"/>
      <c r="T981" s="78"/>
      <c r="U981" s="78"/>
      <c r="V981" s="78"/>
      <c r="W981" s="78"/>
      <c r="X981" s="78"/>
      <c r="Y981" s="78"/>
      <c r="Z981" s="78"/>
    </row>
    <row r="982" spans="1:26" ht="12.75" customHeight="1" x14ac:dyDescent="0.2">
      <c r="A982" s="78"/>
      <c r="B982" s="78"/>
      <c r="C982" s="78"/>
      <c r="D982" s="78"/>
      <c r="E982" s="78"/>
      <c r="F982" s="78"/>
      <c r="G982" s="78"/>
      <c r="H982" s="78"/>
      <c r="I982" s="78"/>
      <c r="J982" s="78"/>
      <c r="K982" s="78"/>
      <c r="L982" s="78"/>
      <c r="M982" s="78"/>
      <c r="N982" s="78"/>
      <c r="O982" s="78"/>
      <c r="P982" s="78"/>
      <c r="Q982" s="78"/>
      <c r="R982" s="78"/>
      <c r="S982" s="78"/>
      <c r="T982" s="78"/>
      <c r="U982" s="78"/>
      <c r="V982" s="78"/>
      <c r="W982" s="78"/>
      <c r="X982" s="78"/>
      <c r="Y982" s="78"/>
      <c r="Z982" s="78"/>
    </row>
    <row r="983" spans="1:26" ht="12.75" customHeight="1" x14ac:dyDescent="0.2">
      <c r="A983" s="78"/>
      <c r="B983" s="78"/>
      <c r="C983" s="78"/>
      <c r="D983" s="78"/>
      <c r="E983" s="78"/>
      <c r="F983" s="78"/>
      <c r="G983" s="78"/>
      <c r="H983" s="78"/>
      <c r="I983" s="78"/>
      <c r="J983" s="78"/>
      <c r="K983" s="78"/>
      <c r="L983" s="78"/>
      <c r="M983" s="78"/>
      <c r="N983" s="78"/>
      <c r="O983" s="78"/>
      <c r="P983" s="78"/>
      <c r="Q983" s="78"/>
      <c r="R983" s="78"/>
      <c r="S983" s="78"/>
      <c r="T983" s="78"/>
      <c r="U983" s="78"/>
      <c r="V983" s="78"/>
      <c r="W983" s="78"/>
      <c r="X983" s="78"/>
      <c r="Y983" s="78"/>
      <c r="Z983" s="78"/>
    </row>
    <row r="984" spans="1:26" ht="12.75" customHeight="1" x14ac:dyDescent="0.2">
      <c r="A984" s="78"/>
      <c r="B984" s="78"/>
      <c r="C984" s="78"/>
      <c r="D984" s="78"/>
      <c r="E984" s="78"/>
      <c r="F984" s="78"/>
      <c r="G984" s="78"/>
      <c r="H984" s="78"/>
      <c r="I984" s="78"/>
      <c r="J984" s="78"/>
      <c r="K984" s="78"/>
      <c r="L984" s="78"/>
      <c r="M984" s="78"/>
      <c r="N984" s="78"/>
      <c r="O984" s="78"/>
      <c r="P984" s="78"/>
      <c r="Q984" s="78"/>
      <c r="R984" s="78"/>
      <c r="S984" s="78"/>
      <c r="T984" s="78"/>
      <c r="U984" s="78"/>
      <c r="V984" s="78"/>
      <c r="W984" s="78"/>
      <c r="X984" s="78"/>
      <c r="Y984" s="78"/>
      <c r="Z984" s="78"/>
    </row>
    <row r="985" spans="1:26" ht="12.75" customHeight="1" x14ac:dyDescent="0.2">
      <c r="A985" s="78"/>
      <c r="B985" s="78"/>
      <c r="C985" s="78"/>
      <c r="D985" s="78"/>
      <c r="E985" s="78"/>
      <c r="F985" s="78"/>
      <c r="G985" s="78"/>
      <c r="H985" s="78"/>
      <c r="I985" s="78"/>
      <c r="J985" s="78"/>
      <c r="K985" s="78"/>
      <c r="L985" s="78"/>
      <c r="M985" s="78"/>
      <c r="N985" s="78"/>
      <c r="O985" s="78"/>
      <c r="P985" s="78"/>
      <c r="Q985" s="78"/>
      <c r="R985" s="78"/>
      <c r="S985" s="78"/>
      <c r="T985" s="78"/>
      <c r="U985" s="78"/>
      <c r="V985" s="78"/>
      <c r="W985" s="78"/>
      <c r="X985" s="78"/>
      <c r="Y985" s="78"/>
      <c r="Z985" s="78"/>
    </row>
    <row r="986" spans="1:26" ht="12.75" customHeight="1" x14ac:dyDescent="0.2">
      <c r="A986" s="78"/>
      <c r="B986" s="78"/>
      <c r="C986" s="78"/>
      <c r="D986" s="78"/>
      <c r="E986" s="78"/>
      <c r="F986" s="78"/>
      <c r="G986" s="78"/>
      <c r="H986" s="78"/>
      <c r="I986" s="78"/>
      <c r="J986" s="78"/>
      <c r="K986" s="78"/>
      <c r="L986" s="78"/>
      <c r="M986" s="78"/>
      <c r="N986" s="78"/>
      <c r="O986" s="78"/>
      <c r="P986" s="78"/>
      <c r="Q986" s="78"/>
      <c r="R986" s="78"/>
      <c r="S986" s="78"/>
      <c r="T986" s="78"/>
      <c r="U986" s="78"/>
      <c r="V986" s="78"/>
      <c r="W986" s="78"/>
      <c r="X986" s="78"/>
      <c r="Y986" s="78"/>
      <c r="Z986" s="78"/>
    </row>
    <row r="987" spans="1:26" ht="12.75" customHeight="1" x14ac:dyDescent="0.2">
      <c r="A987" s="78"/>
      <c r="B987" s="78"/>
      <c r="C987" s="78"/>
      <c r="D987" s="78"/>
      <c r="E987" s="78"/>
      <c r="F987" s="78"/>
      <c r="G987" s="78"/>
      <c r="H987" s="78"/>
      <c r="I987" s="78"/>
      <c r="J987" s="78"/>
      <c r="K987" s="78"/>
      <c r="L987" s="78"/>
      <c r="M987" s="78"/>
      <c r="N987" s="78"/>
      <c r="O987" s="78"/>
      <c r="P987" s="78"/>
      <c r="Q987" s="78"/>
      <c r="R987" s="78"/>
      <c r="S987" s="78"/>
      <c r="T987" s="78"/>
      <c r="U987" s="78"/>
      <c r="V987" s="78"/>
      <c r="W987" s="78"/>
      <c r="X987" s="78"/>
      <c r="Y987" s="78"/>
      <c r="Z987" s="78"/>
    </row>
    <row r="988" spans="1:26" ht="12.75" customHeight="1" x14ac:dyDescent="0.2">
      <c r="A988" s="78"/>
      <c r="B988" s="78"/>
      <c r="C988" s="78"/>
      <c r="D988" s="78"/>
      <c r="E988" s="78"/>
      <c r="F988" s="78"/>
      <c r="G988" s="78"/>
      <c r="H988" s="78"/>
      <c r="I988" s="78"/>
      <c r="J988" s="78"/>
      <c r="K988" s="78"/>
      <c r="L988" s="78"/>
      <c r="M988" s="78"/>
      <c r="N988" s="78"/>
      <c r="O988" s="78"/>
      <c r="P988" s="78"/>
      <c r="Q988" s="78"/>
      <c r="R988" s="78"/>
      <c r="S988" s="78"/>
      <c r="T988" s="78"/>
      <c r="U988" s="78"/>
      <c r="V988" s="78"/>
      <c r="W988" s="78"/>
      <c r="X988" s="78"/>
      <c r="Y988" s="78"/>
      <c r="Z988" s="78"/>
    </row>
    <row r="989" spans="1:26" ht="12.75" customHeight="1" x14ac:dyDescent="0.2">
      <c r="A989" s="78"/>
      <c r="B989" s="78"/>
      <c r="C989" s="78"/>
      <c r="D989" s="78"/>
      <c r="E989" s="78"/>
      <c r="F989" s="78"/>
      <c r="G989" s="78"/>
      <c r="H989" s="78"/>
      <c r="I989" s="78"/>
      <c r="J989" s="78"/>
      <c r="K989" s="78"/>
      <c r="L989" s="78"/>
      <c r="M989" s="78"/>
      <c r="N989" s="78"/>
      <c r="O989" s="78"/>
      <c r="P989" s="78"/>
      <c r="Q989" s="78"/>
      <c r="R989" s="78"/>
      <c r="S989" s="78"/>
      <c r="T989" s="78"/>
      <c r="U989" s="78"/>
      <c r="V989" s="78"/>
      <c r="W989" s="78"/>
      <c r="X989" s="78"/>
      <c r="Y989" s="78"/>
      <c r="Z989" s="78"/>
    </row>
    <row r="990" spans="1:26" ht="12.75" customHeight="1" x14ac:dyDescent="0.2">
      <c r="A990" s="78"/>
      <c r="B990" s="78"/>
      <c r="C990" s="78"/>
      <c r="D990" s="78"/>
      <c r="E990" s="78"/>
      <c r="F990" s="78"/>
      <c r="G990" s="78"/>
      <c r="H990" s="78"/>
      <c r="I990" s="78"/>
      <c r="J990" s="78"/>
      <c r="K990" s="78"/>
      <c r="L990" s="78"/>
      <c r="M990" s="78"/>
      <c r="N990" s="78"/>
      <c r="O990" s="78"/>
      <c r="P990" s="78"/>
      <c r="Q990" s="78"/>
      <c r="R990" s="78"/>
      <c r="S990" s="78"/>
      <c r="T990" s="78"/>
      <c r="U990" s="78"/>
      <c r="V990" s="78"/>
      <c r="W990" s="78"/>
      <c r="X990" s="78"/>
      <c r="Y990" s="78"/>
      <c r="Z990" s="78"/>
    </row>
    <row r="991" spans="1:26" ht="12.75" customHeight="1" x14ac:dyDescent="0.2">
      <c r="A991" s="78"/>
      <c r="B991" s="78"/>
      <c r="C991" s="78"/>
      <c r="D991" s="78"/>
      <c r="E991" s="78"/>
      <c r="F991" s="78"/>
      <c r="G991" s="78"/>
      <c r="H991" s="78"/>
      <c r="I991" s="78"/>
      <c r="J991" s="78"/>
      <c r="K991" s="78"/>
      <c r="L991" s="78"/>
      <c r="M991" s="78"/>
      <c r="N991" s="78"/>
      <c r="O991" s="78"/>
      <c r="P991" s="78"/>
      <c r="Q991" s="78"/>
      <c r="R991" s="78"/>
      <c r="S991" s="78"/>
      <c r="T991" s="78"/>
      <c r="U991" s="78"/>
      <c r="V991" s="78"/>
      <c r="W991" s="78"/>
      <c r="X991" s="78"/>
      <c r="Y991" s="78"/>
      <c r="Z991" s="78"/>
    </row>
    <row r="992" spans="1:26" ht="12.75" customHeight="1" x14ac:dyDescent="0.2">
      <c r="A992" s="78"/>
      <c r="B992" s="78"/>
      <c r="C992" s="78"/>
      <c r="D992" s="78"/>
      <c r="E992" s="78"/>
      <c r="F992" s="78"/>
      <c r="G992" s="78"/>
      <c r="H992" s="78"/>
      <c r="I992" s="78"/>
      <c r="J992" s="78"/>
      <c r="K992" s="78"/>
      <c r="L992" s="78"/>
      <c r="M992" s="78"/>
      <c r="N992" s="78"/>
      <c r="O992" s="78"/>
      <c r="P992" s="78"/>
      <c r="Q992" s="78"/>
      <c r="R992" s="78"/>
      <c r="S992" s="78"/>
      <c r="T992" s="78"/>
      <c r="U992" s="78"/>
      <c r="V992" s="78"/>
      <c r="W992" s="78"/>
      <c r="X992" s="78"/>
      <c r="Y992" s="78"/>
      <c r="Z992" s="78"/>
    </row>
    <row r="993" spans="1:26" ht="12.75" customHeight="1" x14ac:dyDescent="0.2">
      <c r="A993" s="78"/>
      <c r="B993" s="78"/>
      <c r="C993" s="78"/>
      <c r="D993" s="78"/>
      <c r="E993" s="78"/>
      <c r="F993" s="78"/>
      <c r="G993" s="78"/>
      <c r="H993" s="78"/>
      <c r="I993" s="78"/>
      <c r="J993" s="78"/>
      <c r="K993" s="78"/>
      <c r="L993" s="78"/>
      <c r="M993" s="78"/>
      <c r="N993" s="78"/>
      <c r="O993" s="78"/>
      <c r="P993" s="78"/>
      <c r="Q993" s="78"/>
      <c r="R993" s="78"/>
      <c r="S993" s="78"/>
      <c r="T993" s="78"/>
      <c r="U993" s="78"/>
      <c r="V993" s="78"/>
      <c r="W993" s="78"/>
      <c r="X993" s="78"/>
      <c r="Y993" s="78"/>
      <c r="Z993" s="78"/>
    </row>
    <row r="994" spans="1:26" ht="12.75" customHeight="1" x14ac:dyDescent="0.2">
      <c r="A994" s="78"/>
      <c r="B994" s="78"/>
      <c r="C994" s="78"/>
      <c r="D994" s="78"/>
      <c r="E994" s="78"/>
      <c r="F994" s="78"/>
      <c r="G994" s="78"/>
      <c r="H994" s="78"/>
      <c r="I994" s="78"/>
      <c r="J994" s="78"/>
      <c r="K994" s="78"/>
      <c r="L994" s="78"/>
      <c r="M994" s="78"/>
      <c r="N994" s="78"/>
      <c r="O994" s="78"/>
      <c r="P994" s="78"/>
      <c r="Q994" s="78"/>
      <c r="R994" s="78"/>
      <c r="S994" s="78"/>
      <c r="T994" s="78"/>
      <c r="U994" s="78"/>
      <c r="V994" s="78"/>
      <c r="W994" s="78"/>
      <c r="X994" s="78"/>
      <c r="Y994" s="78"/>
      <c r="Z994" s="78"/>
    </row>
    <row r="995" spans="1:26" ht="12.75" customHeight="1" x14ac:dyDescent="0.2">
      <c r="A995" s="78"/>
      <c r="B995" s="78"/>
      <c r="C995" s="78"/>
      <c r="D995" s="78"/>
      <c r="E995" s="78"/>
      <c r="F995" s="78"/>
      <c r="G995" s="78"/>
      <c r="H995" s="78"/>
      <c r="I995" s="78"/>
      <c r="J995" s="78"/>
      <c r="K995" s="78"/>
      <c r="L995" s="78"/>
      <c r="M995" s="78"/>
      <c r="N995" s="78"/>
      <c r="O995" s="78"/>
      <c r="P995" s="78"/>
      <c r="Q995" s="78"/>
      <c r="R995" s="78"/>
      <c r="S995" s="78"/>
      <c r="T995" s="78"/>
      <c r="U995" s="78"/>
      <c r="V995" s="78"/>
      <c r="W995" s="78"/>
      <c r="X995" s="78"/>
      <c r="Y995" s="78"/>
      <c r="Z995" s="78"/>
    </row>
    <row r="996" spans="1:26" ht="12.75" customHeight="1" x14ac:dyDescent="0.2">
      <c r="A996" s="78"/>
      <c r="B996" s="78"/>
      <c r="C996" s="78"/>
      <c r="D996" s="78"/>
      <c r="E996" s="78"/>
      <c r="F996" s="78"/>
      <c r="G996" s="78"/>
      <c r="H996" s="78"/>
      <c r="I996" s="78"/>
      <c r="J996" s="78"/>
      <c r="K996" s="78"/>
      <c r="L996" s="78"/>
      <c r="M996" s="78"/>
      <c r="N996" s="78"/>
      <c r="O996" s="78"/>
      <c r="P996" s="78"/>
      <c r="Q996" s="78"/>
      <c r="R996" s="78"/>
      <c r="S996" s="78"/>
      <c r="T996" s="78"/>
      <c r="U996" s="78"/>
      <c r="V996" s="78"/>
      <c r="W996" s="78"/>
      <c r="X996" s="78"/>
      <c r="Y996" s="78"/>
      <c r="Z996" s="78"/>
    </row>
    <row r="997" spans="1:26" ht="12.75" customHeight="1" x14ac:dyDescent="0.2">
      <c r="A997" s="78"/>
      <c r="B997" s="78"/>
      <c r="C997" s="78"/>
      <c r="D997" s="78"/>
      <c r="E997" s="78"/>
      <c r="F997" s="78"/>
      <c r="G997" s="78"/>
      <c r="H997" s="78"/>
      <c r="I997" s="78"/>
      <c r="J997" s="78"/>
      <c r="K997" s="78"/>
      <c r="L997" s="78"/>
      <c r="M997" s="78"/>
      <c r="N997" s="78"/>
      <c r="O997" s="78"/>
      <c r="P997" s="78"/>
      <c r="Q997" s="78"/>
      <c r="R997" s="78"/>
      <c r="S997" s="78"/>
      <c r="T997" s="78"/>
      <c r="U997" s="78"/>
      <c r="V997" s="78"/>
      <c r="W997" s="78"/>
      <c r="X997" s="78"/>
      <c r="Y997" s="78"/>
      <c r="Z997" s="78"/>
    </row>
    <row r="998" spans="1:26" ht="12.75" customHeight="1" x14ac:dyDescent="0.2">
      <c r="A998" s="78"/>
      <c r="B998" s="78"/>
      <c r="C998" s="78"/>
      <c r="D998" s="78"/>
      <c r="E998" s="78"/>
      <c r="F998" s="78"/>
      <c r="G998" s="78"/>
      <c r="H998" s="78"/>
      <c r="I998" s="78"/>
      <c r="J998" s="78"/>
      <c r="K998" s="78"/>
      <c r="L998" s="78"/>
      <c r="M998" s="78"/>
      <c r="N998" s="78"/>
      <c r="O998" s="78"/>
      <c r="P998" s="78"/>
      <c r="Q998" s="78"/>
      <c r="R998" s="78"/>
      <c r="S998" s="78"/>
      <c r="T998" s="78"/>
      <c r="U998" s="78"/>
      <c r="V998" s="78"/>
      <c r="W998" s="78"/>
      <c r="X998" s="78"/>
      <c r="Y998" s="78"/>
      <c r="Z998" s="78"/>
    </row>
    <row r="999" spans="1:26" ht="12.75" customHeight="1" x14ac:dyDescent="0.2">
      <c r="A999" s="78"/>
      <c r="B999" s="78"/>
      <c r="C999" s="78"/>
      <c r="D999" s="78"/>
      <c r="E999" s="78"/>
      <c r="F999" s="78"/>
      <c r="G999" s="78"/>
      <c r="H999" s="78"/>
      <c r="I999" s="78"/>
      <c r="J999" s="78"/>
      <c r="K999" s="78"/>
      <c r="L999" s="78"/>
      <c r="M999" s="78"/>
      <c r="N999" s="78"/>
      <c r="O999" s="78"/>
      <c r="P999" s="78"/>
      <c r="Q999" s="78"/>
      <c r="R999" s="78"/>
      <c r="S999" s="78"/>
      <c r="T999" s="78"/>
      <c r="U999" s="78"/>
      <c r="V999" s="78"/>
      <c r="W999" s="78"/>
      <c r="X999" s="78"/>
      <c r="Y999" s="78"/>
      <c r="Z999" s="78"/>
    </row>
    <row r="1000" spans="1:26" ht="12.75" customHeight="1" x14ac:dyDescent="0.2">
      <c r="A1000" s="78"/>
      <c r="B1000" s="78"/>
      <c r="C1000" s="78"/>
      <c r="D1000" s="78"/>
      <c r="E1000" s="78"/>
      <c r="F1000" s="78"/>
      <c r="G1000" s="78"/>
      <c r="H1000" s="78"/>
      <c r="I1000" s="78"/>
      <c r="J1000" s="78"/>
      <c r="K1000" s="78"/>
      <c r="L1000" s="78"/>
      <c r="M1000" s="78"/>
      <c r="N1000" s="78"/>
      <c r="O1000" s="78"/>
      <c r="P1000" s="78"/>
      <c r="Q1000" s="78"/>
      <c r="R1000" s="78"/>
      <c r="S1000" s="78"/>
      <c r="T1000" s="78"/>
      <c r="U1000" s="78"/>
      <c r="V1000" s="78"/>
      <c r="W1000" s="78"/>
      <c r="X1000" s="78"/>
      <c r="Y1000" s="78"/>
      <c r="Z1000" s="78"/>
    </row>
  </sheetData>
  <mergeCells count="2">
    <mergeCell ref="H5:K5"/>
    <mergeCell ref="M5:P5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/>
  </sheetPr>
  <dimension ref="B3:M1000"/>
  <sheetViews>
    <sheetView zoomScale="114" workbookViewId="0">
      <selection activeCell="E10" sqref="E10"/>
    </sheetView>
  </sheetViews>
  <sheetFormatPr baseColWidth="10" defaultColWidth="14.5" defaultRowHeight="15" customHeight="1" x14ac:dyDescent="0.2"/>
  <cols>
    <col min="1" max="1" width="8.6640625" customWidth="1"/>
    <col min="2" max="2" width="26.1640625" customWidth="1"/>
    <col min="3" max="11" width="14.83203125" customWidth="1"/>
    <col min="12" max="26" width="8.6640625" customWidth="1"/>
  </cols>
  <sheetData>
    <row r="3" spans="2:13" ht="30" x14ac:dyDescent="0.2">
      <c r="C3" s="170" t="s">
        <v>78</v>
      </c>
      <c r="D3" s="171"/>
      <c r="E3" s="171"/>
      <c r="F3" s="171"/>
      <c r="G3" s="170" t="s">
        <v>78</v>
      </c>
      <c r="H3" s="171"/>
      <c r="I3" s="171"/>
      <c r="J3" s="171"/>
      <c r="K3" s="80" t="s">
        <v>78</v>
      </c>
    </row>
    <row r="4" spans="2:13" x14ac:dyDescent="0.2">
      <c r="C4" s="82" t="s">
        <v>80</v>
      </c>
      <c r="D4" s="82" t="s">
        <v>81</v>
      </c>
      <c r="E4" s="82" t="s">
        <v>82</v>
      </c>
      <c r="F4" s="82" t="s">
        <v>83</v>
      </c>
      <c r="G4" s="82" t="s">
        <v>80</v>
      </c>
      <c r="H4" s="82" t="s">
        <v>81</v>
      </c>
      <c r="I4" s="82" t="s">
        <v>82</v>
      </c>
      <c r="J4" s="82" t="s">
        <v>83</v>
      </c>
      <c r="K4" s="82" t="s">
        <v>80</v>
      </c>
    </row>
    <row r="5" spans="2:13" x14ac:dyDescent="0.2">
      <c r="C5" s="84">
        <v>2021</v>
      </c>
      <c r="D5" s="84">
        <v>2021</v>
      </c>
      <c r="E5" s="84">
        <v>2021</v>
      </c>
      <c r="F5" s="84">
        <v>2021</v>
      </c>
      <c r="G5" s="84">
        <v>2022</v>
      </c>
      <c r="H5" s="84">
        <v>2022</v>
      </c>
      <c r="I5" s="84">
        <v>2022</v>
      </c>
      <c r="J5" s="84">
        <v>2022</v>
      </c>
      <c r="K5" s="84">
        <v>2023</v>
      </c>
    </row>
    <row r="6" spans="2:13" x14ac:dyDescent="0.2">
      <c r="B6" s="155" t="s">
        <v>165</v>
      </c>
      <c r="C6" s="156">
        <f>'Income Statement'!F9</f>
        <v>501429.74000000005</v>
      </c>
      <c r="D6" s="156">
        <f>'Income Statement'!G9</f>
        <v>513924.39000000007</v>
      </c>
      <c r="E6" s="156">
        <f>'Income Statement'!H9</f>
        <v>523842.69000000006</v>
      </c>
      <c r="F6" s="156">
        <f>'Income Statement'!I9</f>
        <v>539652.26</v>
      </c>
      <c r="G6" s="156">
        <f>'Income Statement'!K9</f>
        <v>550743.69000000006</v>
      </c>
      <c r="H6" s="156">
        <f>'Income Statement'!L9</f>
        <v>557909.87</v>
      </c>
      <c r="I6" s="156">
        <f>'Income Statement'!M9</f>
        <v>554791.2300000001</v>
      </c>
      <c r="J6" s="156">
        <f>'Income Statement'!N9</f>
        <v>549643.71000000008</v>
      </c>
      <c r="K6" s="156">
        <f>'Income Statement'!P9</f>
        <v>571305.21000000008</v>
      </c>
    </row>
    <row r="7" spans="2:13" x14ac:dyDescent="0.2">
      <c r="B7" s="155" t="s">
        <v>166</v>
      </c>
      <c r="C7" s="157">
        <v>33</v>
      </c>
      <c r="D7" s="157">
        <v>33</v>
      </c>
      <c r="E7" s="157">
        <v>33</v>
      </c>
      <c r="F7" s="157">
        <v>33</v>
      </c>
      <c r="G7" s="157">
        <v>34</v>
      </c>
      <c r="H7" s="157">
        <v>34</v>
      </c>
      <c r="I7" s="157">
        <v>34</v>
      </c>
      <c r="J7" s="157">
        <v>34</v>
      </c>
      <c r="K7" s="157">
        <v>34</v>
      </c>
    </row>
    <row r="8" spans="2:13" x14ac:dyDescent="0.2">
      <c r="C8" s="157"/>
      <c r="D8" s="157"/>
      <c r="E8" s="157"/>
      <c r="F8" s="157"/>
      <c r="G8" s="157"/>
      <c r="H8" s="157"/>
      <c r="I8" s="157"/>
      <c r="J8" s="157"/>
      <c r="K8" s="157"/>
    </row>
    <row r="9" spans="2:13" x14ac:dyDescent="0.2">
      <c r="B9" s="77" t="s">
        <v>167</v>
      </c>
      <c r="C9" s="158">
        <f t="shared" ref="C9:K9" si="0">C6/C7</f>
        <v>15194.840606060607</v>
      </c>
      <c r="D9" s="158">
        <f t="shared" si="0"/>
        <v>15573.466363636366</v>
      </c>
      <c r="E9" s="158">
        <f t="shared" si="0"/>
        <v>15874.02090909091</v>
      </c>
      <c r="F9" s="158">
        <f t="shared" si="0"/>
        <v>16353.098787878787</v>
      </c>
      <c r="G9" s="158">
        <f t="shared" si="0"/>
        <v>16198.343823529414</v>
      </c>
      <c r="H9" s="158">
        <f t="shared" si="0"/>
        <v>16409.113823529413</v>
      </c>
      <c r="I9" s="158">
        <f t="shared" si="0"/>
        <v>16317.389117647062</v>
      </c>
      <c r="J9" s="158">
        <f t="shared" si="0"/>
        <v>16165.991470588238</v>
      </c>
      <c r="K9" s="158">
        <f t="shared" si="0"/>
        <v>16803.094411764709</v>
      </c>
    </row>
    <row r="10" spans="2:13" x14ac:dyDescent="0.2">
      <c r="B10" s="155" t="s">
        <v>168</v>
      </c>
      <c r="C10" s="38">
        <f t="shared" ref="C10:K10" si="1">C13+C11</f>
        <v>467.62575757575905</v>
      </c>
      <c r="D10" s="38">
        <f t="shared" si="1"/>
        <v>500.5545454545445</v>
      </c>
      <c r="E10" s="38">
        <f t="shared" si="1"/>
        <v>683.07787878787713</v>
      </c>
      <c r="F10" s="38">
        <f t="shared" si="1"/>
        <v>289.24503565062696</v>
      </c>
      <c r="G10" s="38">
        <f t="shared" si="1"/>
        <v>2656.7699999999986</v>
      </c>
      <c r="H10" s="38">
        <f t="shared" si="1"/>
        <v>4908.2752941176495</v>
      </c>
      <c r="I10" s="38">
        <f t="shared" si="1"/>
        <v>1503.6023529411759</v>
      </c>
      <c r="J10" s="38">
        <f t="shared" si="1"/>
        <v>1881.1029411764703</v>
      </c>
      <c r="K10" s="38">
        <f t="shared" si="1"/>
        <v>1964.9055882352914</v>
      </c>
    </row>
    <row r="11" spans="2:13" x14ac:dyDescent="0.2">
      <c r="B11" s="155" t="s">
        <v>169</v>
      </c>
      <c r="C11" s="38">
        <v>89</v>
      </c>
      <c r="D11" s="38">
        <v>200</v>
      </c>
      <c r="E11" s="38">
        <v>204</v>
      </c>
      <c r="F11" s="38">
        <v>444</v>
      </c>
      <c r="G11" s="38">
        <v>2446</v>
      </c>
      <c r="H11" s="38">
        <v>5000</v>
      </c>
      <c r="I11" s="38">
        <v>1655</v>
      </c>
      <c r="J11" s="38">
        <v>1244</v>
      </c>
      <c r="K11" s="38">
        <v>322</v>
      </c>
    </row>
    <row r="12" spans="2:13" x14ac:dyDescent="0.2">
      <c r="B12" s="77" t="s">
        <v>170</v>
      </c>
      <c r="C12" s="158">
        <f t="shared" ref="C12:J12" si="2">D9</f>
        <v>15573.466363636366</v>
      </c>
      <c r="D12" s="158">
        <f t="shared" si="2"/>
        <v>15874.02090909091</v>
      </c>
      <c r="E12" s="158">
        <f t="shared" si="2"/>
        <v>16353.098787878787</v>
      </c>
      <c r="F12" s="158">
        <f t="shared" si="2"/>
        <v>16198.343823529414</v>
      </c>
      <c r="G12" s="158">
        <f t="shared" si="2"/>
        <v>16409.113823529413</v>
      </c>
      <c r="H12" s="158">
        <f t="shared" si="2"/>
        <v>16317.389117647062</v>
      </c>
      <c r="I12" s="158">
        <f t="shared" si="2"/>
        <v>16165.991470588238</v>
      </c>
      <c r="J12" s="158">
        <f t="shared" si="2"/>
        <v>16803.094411764709</v>
      </c>
      <c r="K12" s="158">
        <v>18446</v>
      </c>
    </row>
    <row r="13" spans="2:13" x14ac:dyDescent="0.2">
      <c r="B13" s="155" t="s">
        <v>171</v>
      </c>
      <c r="C13" s="38">
        <f t="shared" ref="C13:K13" si="3">C12-C9</f>
        <v>378.62575757575905</v>
      </c>
      <c r="D13" s="38">
        <f t="shared" si="3"/>
        <v>300.5545454545445</v>
      </c>
      <c r="E13" s="38">
        <f t="shared" si="3"/>
        <v>479.07787878787713</v>
      </c>
      <c r="F13" s="38">
        <f t="shared" si="3"/>
        <v>-154.75496434937304</v>
      </c>
      <c r="G13" s="38">
        <f t="shared" si="3"/>
        <v>210.76999999999862</v>
      </c>
      <c r="H13" s="38">
        <f t="shared" si="3"/>
        <v>-91.724705882350463</v>
      </c>
      <c r="I13" s="38">
        <f t="shared" si="3"/>
        <v>-151.39764705882408</v>
      </c>
      <c r="J13" s="38">
        <f t="shared" si="3"/>
        <v>637.10294117647027</v>
      </c>
      <c r="K13" s="38">
        <f t="shared" si="3"/>
        <v>1642.9055882352914</v>
      </c>
    </row>
    <row r="15" spans="2:13" x14ac:dyDescent="0.2">
      <c r="B15" s="155" t="s">
        <v>172</v>
      </c>
      <c r="D15" s="67">
        <f t="shared" ref="D15:K15" si="4">D11/D9</f>
        <v>1.2842356051636311E-2</v>
      </c>
      <c r="E15" s="67">
        <f t="shared" si="4"/>
        <v>1.2851186297932304E-2</v>
      </c>
      <c r="F15" s="67">
        <f t="shared" si="4"/>
        <v>2.7150817454188E-2</v>
      </c>
      <c r="G15" s="67">
        <f t="shared" si="4"/>
        <v>0.15100309183751154</v>
      </c>
      <c r="H15" s="67">
        <f t="shared" si="4"/>
        <v>0.30470871576442982</v>
      </c>
      <c r="I15" s="67">
        <f t="shared" si="4"/>
        <v>0.1014255398377512</v>
      </c>
      <c r="J15" s="67">
        <f t="shared" si="4"/>
        <v>7.6951667472006532E-2</v>
      </c>
      <c r="K15" s="67">
        <f t="shared" si="4"/>
        <v>1.916313698592036E-2</v>
      </c>
      <c r="M15" s="155" t="s">
        <v>173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">
    <mergeCell ref="C3:F3"/>
    <mergeCell ref="G3:J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Output 1</vt:lpstr>
      <vt:lpstr>Output 2</vt:lpstr>
      <vt:lpstr>Output 3</vt:lpstr>
      <vt:lpstr>Income Statement</vt:lpstr>
      <vt:lpstr>Balance Sheet</vt:lpstr>
      <vt:lpstr>Cash Flows</vt:lpstr>
      <vt:lpstr>Customer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rodgers</dc:creator>
  <cp:lastModifiedBy>Shravani Goud Dindu</cp:lastModifiedBy>
  <dcterms:created xsi:type="dcterms:W3CDTF">2023-05-19T16:46:02Z</dcterms:created>
  <dcterms:modified xsi:type="dcterms:W3CDTF">2026-02-16T22:49:39Z</dcterms:modified>
</cp:coreProperties>
</file>